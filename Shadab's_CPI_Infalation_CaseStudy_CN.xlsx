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8A1BD5-3681-4007-A67B-D39DAA6BAA05}" xr6:coauthVersionLast="36" xr6:coauthVersionMax="36" xr10:uidLastSave="{00000000-0000-0000-0000-000000000000}"/>
  <bookViews>
    <workbookView xWindow="0" yWindow="0" windowWidth="20490" windowHeight="7545" firstSheet="3" activeTab="8" xr2:uid="{00000000-000D-0000-FFFF-FFFF00000000}"/>
  </bookViews>
  <sheets>
    <sheet name="Shadab's_CPI_Infalation_CaseStu" sheetId="1" r:id="rId1"/>
    <sheet name="Sheet1" sheetId="18" r:id="rId2"/>
    <sheet name="Cleaned Data" sheetId="2" r:id="rId3"/>
    <sheet name="Objective1" sheetId="15" r:id="rId4"/>
    <sheet name="Objective2" sheetId="16" r:id="rId5"/>
    <sheet name="Objective3" sheetId="11" r:id="rId6"/>
    <sheet name="Objective4" sheetId="14" r:id="rId7"/>
    <sheet name="Objective5" sheetId="10" r:id="rId8"/>
    <sheet name="Note" sheetId="17" r:id="rId9"/>
  </sheets>
  <definedNames>
    <definedName name="_xlnm._FilterDatabase" localSheetId="0" hidden="1">'Shadab''s_CPI_Infalation_CaseStu'!$A$1:$AD$373</definedName>
  </definedNames>
  <calcPr calcId="191029"/>
  <pivotCaches>
    <pivotCache cacheId="0" r:id="rId10"/>
  </pivotCaches>
</workbook>
</file>

<file path=xl/calcChain.xml><?xml version="1.0" encoding="utf-8"?>
<calcChain xmlns="http://schemas.openxmlformats.org/spreadsheetml/2006/main">
  <c r="Q376" i="2" l="1"/>
  <c r="N376" i="2"/>
  <c r="K376" i="2"/>
  <c r="I43" i="11" l="1"/>
  <c r="I44" i="11"/>
  <c r="I45" i="11"/>
  <c r="I46" i="11"/>
  <c r="I47" i="11"/>
  <c r="I48" i="11"/>
  <c r="I49" i="11"/>
  <c r="I50" i="11"/>
  <c r="I51" i="11"/>
  <c r="I52" i="11"/>
  <c r="I53" i="11"/>
  <c r="I54" i="11"/>
  <c r="I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42" i="11"/>
  <c r="G18" i="11"/>
  <c r="H27" i="11" s="1"/>
  <c r="G17" i="11"/>
  <c r="G16" i="11"/>
  <c r="G15" i="11"/>
  <c r="G14" i="11"/>
  <c r="G13" i="11"/>
  <c r="G12" i="11"/>
  <c r="G11" i="11"/>
  <c r="G10" i="11"/>
  <c r="H25" i="11" s="1"/>
  <c r="G9" i="11"/>
  <c r="G8" i="11"/>
  <c r="G7" i="11"/>
  <c r="H21" i="11" s="1"/>
  <c r="E12" i="16"/>
  <c r="E11" i="16"/>
  <c r="E10" i="16"/>
  <c r="E9" i="16"/>
  <c r="E8" i="16"/>
  <c r="E7" i="16"/>
  <c r="E6" i="16"/>
  <c r="B23" i="15"/>
  <c r="B22" i="15"/>
  <c r="B21" i="15"/>
  <c r="B20" i="15"/>
  <c r="B19" i="15"/>
  <c r="B18" i="15"/>
  <c r="B17" i="15"/>
  <c r="B16" i="15"/>
  <c r="B15" i="15"/>
  <c r="B14" i="15"/>
  <c r="B12" i="15" l="1"/>
  <c r="C15" i="15" s="1"/>
  <c r="C23" i="15" l="1"/>
  <c r="C19" i="15"/>
  <c r="C22" i="15"/>
  <c r="C20" i="15"/>
  <c r="C18" i="15"/>
  <c r="C16" i="15"/>
  <c r="C14" i="15"/>
  <c r="C21" i="15"/>
  <c r="C17" i="15"/>
  <c r="L74" i="14" l="1"/>
  <c r="K77" i="14"/>
  <c r="K7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K76" i="14" s="1"/>
  <c r="W28" i="14"/>
  <c r="L76" i="14" s="1"/>
  <c r="W29" i="14"/>
  <c r="W30" i="14"/>
  <c r="M76" i="14" s="1"/>
  <c r="N76" i="14" s="1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14" i="14"/>
  <c r="J76" i="14" s="1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K75" i="14" s="1"/>
  <c r="T28" i="14"/>
  <c r="T29" i="14"/>
  <c r="L75" i="14" s="1"/>
  <c r="T30" i="14"/>
  <c r="M75" i="14" s="1"/>
  <c r="N75" i="14" s="1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14" i="14"/>
  <c r="J75" i="14" s="1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L77" i="14" s="1"/>
  <c r="Q29" i="14"/>
  <c r="Q30" i="14"/>
  <c r="M77" i="14" s="1"/>
  <c r="N77" i="14" s="1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14" i="14"/>
  <c r="J77" i="14" s="1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M74" i="14" s="1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14" i="14"/>
  <c r="J74" i="14" s="1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14" i="14"/>
  <c r="I65" i="14"/>
  <c r="I64" i="14"/>
  <c r="K64" i="14" s="1"/>
  <c r="I63" i="14"/>
  <c r="I62" i="14"/>
  <c r="K62" i="14" s="1"/>
  <c r="I60" i="14"/>
  <c r="I59" i="14"/>
  <c r="I58" i="14"/>
  <c r="I57" i="14"/>
  <c r="I56" i="14"/>
  <c r="I55" i="14"/>
  <c r="K55" i="14" s="1"/>
  <c r="I54" i="14"/>
  <c r="I53" i="14"/>
  <c r="I52" i="14"/>
  <c r="I51" i="14"/>
  <c r="K51" i="14" s="1"/>
  <c r="I50" i="14"/>
  <c r="I49" i="14"/>
  <c r="I48" i="14"/>
  <c r="I47" i="14"/>
  <c r="I46" i="14"/>
  <c r="I45" i="14"/>
  <c r="I44" i="14"/>
  <c r="I43" i="14"/>
  <c r="K43" i="14" s="1"/>
  <c r="I42" i="14"/>
  <c r="I41" i="14"/>
  <c r="I40" i="14"/>
  <c r="I39" i="14"/>
  <c r="K39" i="14" s="1"/>
  <c r="I38" i="14"/>
  <c r="I37" i="14"/>
  <c r="I36" i="14"/>
  <c r="I35" i="14"/>
  <c r="K35" i="14" s="1"/>
  <c r="I34" i="14"/>
  <c r="I33" i="14"/>
  <c r="I32" i="14"/>
  <c r="I31" i="14"/>
  <c r="K31" i="14" s="1"/>
  <c r="I30" i="14"/>
  <c r="I29" i="14"/>
  <c r="I28" i="14"/>
  <c r="I27" i="14"/>
  <c r="K27" i="14" s="1"/>
  <c r="K73" i="14" s="1"/>
  <c r="I26" i="14"/>
  <c r="I25" i="14"/>
  <c r="I24" i="14"/>
  <c r="I23" i="14"/>
  <c r="K23" i="14" s="1"/>
  <c r="I22" i="14"/>
  <c r="I21" i="14"/>
  <c r="I20" i="14"/>
  <c r="I19" i="14"/>
  <c r="K19" i="14" s="1"/>
  <c r="I18" i="14"/>
  <c r="I17" i="14"/>
  <c r="I16" i="14"/>
  <c r="I15" i="14"/>
  <c r="K15" i="14" s="1"/>
  <c r="I14" i="14"/>
  <c r="I61" i="14"/>
  <c r="F9" i="11"/>
  <c r="F16" i="11"/>
  <c r="F18" i="11"/>
  <c r="F17" i="11"/>
  <c r="F15" i="11"/>
  <c r="H23" i="11" s="1"/>
  <c r="F14" i="11"/>
  <c r="F13" i="11"/>
  <c r="F12" i="11"/>
  <c r="F11" i="11"/>
  <c r="F10" i="11"/>
  <c r="F8" i="11"/>
  <c r="F7" i="11"/>
  <c r="N74" i="14" l="1"/>
  <c r="K65" i="14"/>
  <c r="K61" i="14"/>
  <c r="K17" i="14"/>
  <c r="K21" i="14"/>
  <c r="K25" i="14"/>
  <c r="K29" i="14"/>
  <c r="K33" i="14"/>
  <c r="K37" i="14"/>
  <c r="K41" i="14"/>
  <c r="K45" i="14"/>
  <c r="K49" i="14"/>
  <c r="K53" i="14"/>
  <c r="K57" i="14"/>
  <c r="K58" i="14"/>
  <c r="K54" i="14"/>
  <c r="K50" i="14"/>
  <c r="K46" i="14"/>
  <c r="K59" i="14"/>
  <c r="K47" i="14"/>
  <c r="K60" i="14"/>
  <c r="K56" i="14"/>
  <c r="K52" i="14"/>
  <c r="K48" i="14"/>
  <c r="K44" i="14"/>
  <c r="K40" i="14"/>
  <c r="K36" i="14"/>
  <c r="K32" i="14"/>
  <c r="K28" i="14"/>
  <c r="L73" i="14" s="1"/>
  <c r="K24" i="14"/>
  <c r="K20" i="14"/>
  <c r="K14" i="14"/>
  <c r="K18" i="14"/>
  <c r="K22" i="14"/>
  <c r="K26" i="14"/>
  <c r="K30" i="14"/>
  <c r="K34" i="14"/>
  <c r="K38" i="14"/>
  <c r="K42" i="14"/>
  <c r="K16" i="14"/>
  <c r="K63" i="14"/>
  <c r="N33" i="10"/>
  <c r="N29" i="10"/>
  <c r="N25" i="10"/>
  <c r="N21" i="10"/>
  <c r="N17" i="10"/>
  <c r="N13" i="10"/>
  <c r="N9" i="10"/>
  <c r="M73" i="14" l="1"/>
  <c r="J73" i="14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2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2" i="2"/>
  <c r="D373" i="2"/>
  <c r="AP373" i="2" s="1"/>
  <c r="D372" i="2"/>
  <c r="AP372" i="2" s="1"/>
  <c r="D371" i="2"/>
  <c r="AP371" i="2" s="1"/>
  <c r="D370" i="2"/>
  <c r="AP370" i="2" s="1"/>
  <c r="D369" i="2"/>
  <c r="AP369" i="2" s="1"/>
  <c r="D368" i="2"/>
  <c r="AP368" i="2" s="1"/>
  <c r="D367" i="2"/>
  <c r="AP367" i="2" s="1"/>
  <c r="D366" i="2"/>
  <c r="AP366" i="2" s="1"/>
  <c r="D365" i="2"/>
  <c r="AP365" i="2" s="1"/>
  <c r="D364" i="2"/>
  <c r="AP364" i="2" s="1"/>
  <c r="D363" i="2"/>
  <c r="AP363" i="2" s="1"/>
  <c r="D362" i="2"/>
  <c r="AP362" i="2" s="1"/>
  <c r="D361" i="2"/>
  <c r="AP361" i="2" s="1"/>
  <c r="D360" i="2"/>
  <c r="AP360" i="2" s="1"/>
  <c r="D359" i="2"/>
  <c r="AP359" i="2" s="1"/>
  <c r="D358" i="2"/>
  <c r="AP358" i="2" s="1"/>
  <c r="D357" i="2"/>
  <c r="AP357" i="2" s="1"/>
  <c r="D356" i="2"/>
  <c r="AP356" i="2" s="1"/>
  <c r="D355" i="2"/>
  <c r="AP355" i="2" s="1"/>
  <c r="D354" i="2"/>
  <c r="AP354" i="2" s="1"/>
  <c r="D353" i="2"/>
  <c r="AP353" i="2" s="1"/>
  <c r="D352" i="2"/>
  <c r="AP352" i="2" s="1"/>
  <c r="D351" i="2"/>
  <c r="AP351" i="2" s="1"/>
  <c r="D350" i="2"/>
  <c r="AP350" i="2" s="1"/>
  <c r="D349" i="2"/>
  <c r="AP349" i="2" s="1"/>
  <c r="D348" i="2"/>
  <c r="AP348" i="2" s="1"/>
  <c r="D347" i="2"/>
  <c r="AP347" i="2" s="1"/>
  <c r="D346" i="2"/>
  <c r="AP346" i="2" s="1"/>
  <c r="D345" i="2"/>
  <c r="AP345" i="2" s="1"/>
  <c r="D344" i="2"/>
  <c r="AP344" i="2" s="1"/>
  <c r="D343" i="2"/>
  <c r="AP343" i="2" s="1"/>
  <c r="D342" i="2"/>
  <c r="AP342" i="2" s="1"/>
  <c r="D341" i="2"/>
  <c r="AP341" i="2" s="1"/>
  <c r="D340" i="2"/>
  <c r="AP340" i="2" s="1"/>
  <c r="D339" i="2"/>
  <c r="AP339" i="2" s="1"/>
  <c r="D338" i="2"/>
  <c r="AP338" i="2" s="1"/>
  <c r="D337" i="2"/>
  <c r="AP337" i="2" s="1"/>
  <c r="D336" i="2"/>
  <c r="AP336" i="2" s="1"/>
  <c r="D335" i="2"/>
  <c r="AP335" i="2" s="1"/>
  <c r="D334" i="2"/>
  <c r="AP334" i="2" s="1"/>
  <c r="D333" i="2"/>
  <c r="AP333" i="2" s="1"/>
  <c r="D332" i="2"/>
  <c r="AP332" i="2" s="1"/>
  <c r="D331" i="2"/>
  <c r="AP331" i="2" s="1"/>
  <c r="D330" i="2"/>
  <c r="AP330" i="2" s="1"/>
  <c r="D329" i="2"/>
  <c r="AP329" i="2" s="1"/>
  <c r="D328" i="2"/>
  <c r="AP328" i="2" s="1"/>
  <c r="D327" i="2"/>
  <c r="AP327" i="2" s="1"/>
  <c r="D326" i="2"/>
  <c r="AP326" i="2" s="1"/>
  <c r="D325" i="2"/>
  <c r="AP325" i="2" s="1"/>
  <c r="D324" i="2"/>
  <c r="AP324" i="2" s="1"/>
  <c r="D323" i="2"/>
  <c r="AP323" i="2" s="1"/>
  <c r="D322" i="2"/>
  <c r="AP322" i="2" s="1"/>
  <c r="D321" i="2"/>
  <c r="AP321" i="2" s="1"/>
  <c r="D320" i="2"/>
  <c r="AP320" i="2" s="1"/>
  <c r="D319" i="2"/>
  <c r="AP319" i="2" s="1"/>
  <c r="D318" i="2"/>
  <c r="AP318" i="2" s="1"/>
  <c r="D317" i="2"/>
  <c r="AP317" i="2" s="1"/>
  <c r="D316" i="2"/>
  <c r="AP316" i="2" s="1"/>
  <c r="D315" i="2"/>
  <c r="AP315" i="2" s="1"/>
  <c r="D314" i="2"/>
  <c r="AP314" i="2" s="1"/>
  <c r="D313" i="2"/>
  <c r="AP313" i="2" s="1"/>
  <c r="D312" i="2"/>
  <c r="AP312" i="2" s="1"/>
  <c r="D311" i="2"/>
  <c r="AP311" i="2" s="1"/>
  <c r="D310" i="2"/>
  <c r="AP310" i="2" s="1"/>
  <c r="D309" i="2"/>
  <c r="AP309" i="2" s="1"/>
  <c r="D308" i="2"/>
  <c r="AP308" i="2" s="1"/>
  <c r="D307" i="2"/>
  <c r="AP307" i="2" s="1"/>
  <c r="D306" i="2"/>
  <c r="AP306" i="2" s="1"/>
  <c r="D305" i="2"/>
  <c r="AP305" i="2" s="1"/>
  <c r="D304" i="2"/>
  <c r="AP304" i="2" s="1"/>
  <c r="D303" i="2"/>
  <c r="AP303" i="2" s="1"/>
  <c r="D302" i="2"/>
  <c r="AP302" i="2" s="1"/>
  <c r="D301" i="2"/>
  <c r="AP301" i="2" s="1"/>
  <c r="D300" i="2"/>
  <c r="AP300" i="2" s="1"/>
  <c r="D299" i="2"/>
  <c r="AP299" i="2" s="1"/>
  <c r="D298" i="2"/>
  <c r="AP298" i="2" s="1"/>
  <c r="D297" i="2"/>
  <c r="AP297" i="2" s="1"/>
  <c r="D296" i="2"/>
  <c r="AP296" i="2" s="1"/>
  <c r="D295" i="2"/>
  <c r="AP295" i="2" s="1"/>
  <c r="D294" i="2"/>
  <c r="AP294" i="2" s="1"/>
  <c r="D293" i="2"/>
  <c r="AP293" i="2" s="1"/>
  <c r="D292" i="2"/>
  <c r="AP292" i="2" s="1"/>
  <c r="D291" i="2"/>
  <c r="AP291" i="2" s="1"/>
  <c r="D290" i="2"/>
  <c r="AP290" i="2" s="1"/>
  <c r="D289" i="2"/>
  <c r="AP289" i="2" s="1"/>
  <c r="D288" i="2"/>
  <c r="AP288" i="2" s="1"/>
  <c r="D287" i="2"/>
  <c r="AP287" i="2" s="1"/>
  <c r="D286" i="2"/>
  <c r="AP286" i="2" s="1"/>
  <c r="D285" i="2"/>
  <c r="AP285" i="2" s="1"/>
  <c r="D284" i="2"/>
  <c r="AP284" i="2" s="1"/>
  <c r="D283" i="2"/>
  <c r="AP283" i="2" s="1"/>
  <c r="D282" i="2"/>
  <c r="AP282" i="2" s="1"/>
  <c r="D281" i="2"/>
  <c r="AP281" i="2" s="1"/>
  <c r="D280" i="2"/>
  <c r="AP280" i="2" s="1"/>
  <c r="D279" i="2"/>
  <c r="AP279" i="2" s="1"/>
  <c r="D278" i="2"/>
  <c r="AP278" i="2" s="1"/>
  <c r="D277" i="2"/>
  <c r="AP277" i="2" s="1"/>
  <c r="D276" i="2"/>
  <c r="AP276" i="2" s="1"/>
  <c r="D275" i="2"/>
  <c r="AP275" i="2" s="1"/>
  <c r="D274" i="2"/>
  <c r="AP274" i="2" s="1"/>
  <c r="D273" i="2"/>
  <c r="AP273" i="2" s="1"/>
  <c r="D272" i="2"/>
  <c r="AP272" i="2" s="1"/>
  <c r="D271" i="2"/>
  <c r="AP271" i="2" s="1"/>
  <c r="D270" i="2"/>
  <c r="AP270" i="2" s="1"/>
  <c r="D269" i="2"/>
  <c r="AP269" i="2" s="1"/>
  <c r="D268" i="2"/>
  <c r="AP268" i="2" s="1"/>
  <c r="D267" i="2"/>
  <c r="AP267" i="2" s="1"/>
  <c r="D266" i="2"/>
  <c r="AP266" i="2" s="1"/>
  <c r="D265" i="2"/>
  <c r="AP265" i="2" s="1"/>
  <c r="D264" i="2"/>
  <c r="AP264" i="2" s="1"/>
  <c r="D263" i="2"/>
  <c r="AP263" i="2" s="1"/>
  <c r="AE262" i="2"/>
  <c r="AE265" i="2" s="1"/>
  <c r="AD262" i="2"/>
  <c r="AD265" i="2" s="1"/>
  <c r="AO265" i="2" s="1"/>
  <c r="AC262" i="2"/>
  <c r="AC265" i="2" s="1"/>
  <c r="AK265" i="2" s="1"/>
  <c r="D262" i="2"/>
  <c r="AP262" i="2" s="1"/>
  <c r="AE261" i="2"/>
  <c r="AE264" i="2" s="1"/>
  <c r="AD261" i="2"/>
  <c r="AD264" i="2" s="1"/>
  <c r="AO264" i="2" s="1"/>
  <c r="AC261" i="2"/>
  <c r="AC264" i="2" s="1"/>
  <c r="AK264" i="2" s="1"/>
  <c r="D261" i="2"/>
  <c r="AP261" i="2" s="1"/>
  <c r="AE260" i="2"/>
  <c r="AE263" i="2" s="1"/>
  <c r="AD260" i="2"/>
  <c r="AD263" i="2" s="1"/>
  <c r="AO263" i="2" s="1"/>
  <c r="AC260" i="2"/>
  <c r="AC263" i="2" s="1"/>
  <c r="AK263" i="2" s="1"/>
  <c r="D260" i="2"/>
  <c r="AP260" i="2" s="1"/>
  <c r="D259" i="2"/>
  <c r="AP259" i="2" s="1"/>
  <c r="D258" i="2"/>
  <c r="AP258" i="2" s="1"/>
  <c r="D257" i="2"/>
  <c r="AP257" i="2" s="1"/>
  <c r="D256" i="2"/>
  <c r="AP256" i="2" s="1"/>
  <c r="D255" i="2"/>
  <c r="AP255" i="2" s="1"/>
  <c r="D254" i="2"/>
  <c r="AP254" i="2" s="1"/>
  <c r="D253" i="2"/>
  <c r="AP253" i="2" s="1"/>
  <c r="D252" i="2"/>
  <c r="AP252" i="2" s="1"/>
  <c r="D251" i="2"/>
  <c r="AP251" i="2" s="1"/>
  <c r="D250" i="2"/>
  <c r="AP250" i="2" s="1"/>
  <c r="D249" i="2"/>
  <c r="AP249" i="2" s="1"/>
  <c r="D248" i="2"/>
  <c r="AP248" i="2" s="1"/>
  <c r="AP247" i="2"/>
  <c r="D247" i="2"/>
  <c r="D246" i="2"/>
  <c r="AP246" i="2" s="1"/>
  <c r="D245" i="2"/>
  <c r="AP245" i="2" s="1"/>
  <c r="D244" i="2"/>
  <c r="AP244" i="2" s="1"/>
  <c r="D243" i="2"/>
  <c r="AP243" i="2" s="1"/>
  <c r="D242" i="2"/>
  <c r="AP242" i="2" s="1"/>
  <c r="D241" i="2"/>
  <c r="AP241" i="2" s="1"/>
  <c r="D240" i="2"/>
  <c r="AP240" i="2" s="1"/>
  <c r="D239" i="2"/>
  <c r="AP239" i="2" s="1"/>
  <c r="D238" i="2"/>
  <c r="AP238" i="2" s="1"/>
  <c r="D237" i="2"/>
  <c r="AP237" i="2" s="1"/>
  <c r="D236" i="2"/>
  <c r="AP236" i="2" s="1"/>
  <c r="D235" i="2"/>
  <c r="AP235" i="2" s="1"/>
  <c r="D234" i="2"/>
  <c r="AP234" i="2" s="1"/>
  <c r="D233" i="2"/>
  <c r="AP233" i="2" s="1"/>
  <c r="D232" i="2"/>
  <c r="AP232" i="2" s="1"/>
  <c r="D231" i="2"/>
  <c r="AP231" i="2" s="1"/>
  <c r="D230" i="2"/>
  <c r="AP230" i="2" s="1"/>
  <c r="D229" i="2"/>
  <c r="AP229" i="2" s="1"/>
  <c r="D228" i="2"/>
  <c r="AP228" i="2" s="1"/>
  <c r="D227" i="2"/>
  <c r="AP227" i="2" s="1"/>
  <c r="D226" i="2"/>
  <c r="AP226" i="2" s="1"/>
  <c r="D225" i="2"/>
  <c r="AP225" i="2" s="1"/>
  <c r="D224" i="2"/>
  <c r="AP224" i="2" s="1"/>
  <c r="D223" i="2"/>
  <c r="AP223" i="2" s="1"/>
  <c r="D222" i="2"/>
  <c r="AP222" i="2" s="1"/>
  <c r="D221" i="2"/>
  <c r="AP221" i="2" s="1"/>
  <c r="D220" i="2"/>
  <c r="AP220" i="2" s="1"/>
  <c r="D219" i="2"/>
  <c r="AP219" i="2" s="1"/>
  <c r="D218" i="2"/>
  <c r="AP218" i="2" s="1"/>
  <c r="D217" i="2"/>
  <c r="AP217" i="2" s="1"/>
  <c r="D216" i="2"/>
  <c r="AP216" i="2" s="1"/>
  <c r="AP215" i="2"/>
  <c r="D215" i="2"/>
  <c r="D214" i="2"/>
  <c r="AP214" i="2" s="1"/>
  <c r="D213" i="2"/>
  <c r="AP213" i="2" s="1"/>
  <c r="D212" i="2"/>
  <c r="AP212" i="2" s="1"/>
  <c r="D211" i="2"/>
  <c r="AP211" i="2" s="1"/>
  <c r="D210" i="2"/>
  <c r="AP210" i="2" s="1"/>
  <c r="D209" i="2"/>
  <c r="AP209" i="2" s="1"/>
  <c r="D208" i="2"/>
  <c r="AP208" i="2" s="1"/>
  <c r="D207" i="2"/>
  <c r="AP207" i="2" s="1"/>
  <c r="D206" i="2"/>
  <c r="AP206" i="2" s="1"/>
  <c r="D205" i="2"/>
  <c r="AP205" i="2" s="1"/>
  <c r="D204" i="2"/>
  <c r="AP204" i="2" s="1"/>
  <c r="D203" i="2"/>
  <c r="AP203" i="2" s="1"/>
  <c r="D202" i="2"/>
  <c r="AP202" i="2" s="1"/>
  <c r="D201" i="2"/>
  <c r="AP201" i="2" s="1"/>
  <c r="D200" i="2"/>
  <c r="AP200" i="2" s="1"/>
  <c r="D199" i="2"/>
  <c r="AP199" i="2" s="1"/>
  <c r="D198" i="2"/>
  <c r="AP198" i="2" s="1"/>
  <c r="D197" i="2"/>
  <c r="AP197" i="2" s="1"/>
  <c r="D196" i="2"/>
  <c r="AP196" i="2" s="1"/>
  <c r="D195" i="2"/>
  <c r="AP195" i="2" s="1"/>
  <c r="D194" i="2"/>
  <c r="AP194" i="2" s="1"/>
  <c r="AP193" i="2"/>
  <c r="D193" i="2"/>
  <c r="D192" i="2"/>
  <c r="AP192" i="2" s="1"/>
  <c r="D191" i="2"/>
  <c r="AP191" i="2" s="1"/>
  <c r="D190" i="2"/>
  <c r="AP190" i="2" s="1"/>
  <c r="D189" i="2"/>
  <c r="AP189" i="2" s="1"/>
  <c r="D188" i="2"/>
  <c r="AP188" i="2" s="1"/>
  <c r="D187" i="2"/>
  <c r="AP187" i="2" s="1"/>
  <c r="D186" i="2"/>
  <c r="AP186" i="2" s="1"/>
  <c r="D185" i="2"/>
  <c r="AP185" i="2" s="1"/>
  <c r="D184" i="2"/>
  <c r="AP184" i="2" s="1"/>
  <c r="D183" i="2"/>
  <c r="AP183" i="2" s="1"/>
  <c r="D182" i="2"/>
  <c r="AP182" i="2" s="1"/>
  <c r="D181" i="2"/>
  <c r="AP181" i="2" s="1"/>
  <c r="D180" i="2"/>
  <c r="AP180" i="2" s="1"/>
  <c r="D179" i="2"/>
  <c r="AP179" i="2" s="1"/>
  <c r="D178" i="2"/>
  <c r="AP178" i="2" s="1"/>
  <c r="D177" i="2"/>
  <c r="AP177" i="2" s="1"/>
  <c r="D176" i="2"/>
  <c r="AP176" i="2" s="1"/>
  <c r="D175" i="2"/>
  <c r="AP175" i="2" s="1"/>
  <c r="D174" i="2"/>
  <c r="AP174" i="2" s="1"/>
  <c r="D173" i="2"/>
  <c r="AP173" i="2" s="1"/>
  <c r="D172" i="2"/>
  <c r="AP172" i="2" s="1"/>
  <c r="D171" i="2"/>
  <c r="AP171" i="2" s="1"/>
  <c r="D170" i="2"/>
  <c r="AP170" i="2" s="1"/>
  <c r="D169" i="2"/>
  <c r="AP169" i="2" s="1"/>
  <c r="D168" i="2"/>
  <c r="AP168" i="2" s="1"/>
  <c r="D167" i="2"/>
  <c r="AP167" i="2" s="1"/>
  <c r="D166" i="2"/>
  <c r="AP166" i="2" s="1"/>
  <c r="D165" i="2"/>
  <c r="AP165" i="2" s="1"/>
  <c r="D164" i="2"/>
  <c r="AP164" i="2" s="1"/>
  <c r="D163" i="2"/>
  <c r="AP163" i="2" s="1"/>
  <c r="D162" i="2"/>
  <c r="AP162" i="2" s="1"/>
  <c r="D161" i="2"/>
  <c r="AP161" i="2" s="1"/>
  <c r="D160" i="2"/>
  <c r="AP160" i="2" s="1"/>
  <c r="D159" i="2"/>
  <c r="AP159" i="2" s="1"/>
  <c r="D158" i="2"/>
  <c r="AP158" i="2" s="1"/>
  <c r="D157" i="2"/>
  <c r="AP157" i="2" s="1"/>
  <c r="D156" i="2"/>
  <c r="AP156" i="2" s="1"/>
  <c r="D155" i="2"/>
  <c r="AP155" i="2" s="1"/>
  <c r="D154" i="2"/>
  <c r="AP154" i="2" s="1"/>
  <c r="D153" i="2"/>
  <c r="AP153" i="2" s="1"/>
  <c r="D152" i="2"/>
  <c r="AP152" i="2" s="1"/>
  <c r="D151" i="2"/>
  <c r="AP151" i="2" s="1"/>
  <c r="D150" i="2"/>
  <c r="AP150" i="2" s="1"/>
  <c r="D149" i="2"/>
  <c r="AP149" i="2" s="1"/>
  <c r="D148" i="2"/>
  <c r="AP148" i="2" s="1"/>
  <c r="D147" i="2"/>
  <c r="AP147" i="2" s="1"/>
  <c r="D146" i="2"/>
  <c r="AP146" i="2" s="1"/>
  <c r="D145" i="2"/>
  <c r="AP145" i="2" s="1"/>
  <c r="D144" i="2"/>
  <c r="AP144" i="2" s="1"/>
  <c r="D143" i="2"/>
  <c r="AP143" i="2" s="1"/>
  <c r="D142" i="2"/>
  <c r="AP142" i="2" s="1"/>
  <c r="D141" i="2"/>
  <c r="AP141" i="2" s="1"/>
  <c r="D140" i="2"/>
  <c r="AP140" i="2" s="1"/>
  <c r="D139" i="2"/>
  <c r="AP139" i="2" s="1"/>
  <c r="D138" i="2"/>
  <c r="AP138" i="2" s="1"/>
  <c r="D137" i="2"/>
  <c r="AP137" i="2" s="1"/>
  <c r="D136" i="2"/>
  <c r="AP136" i="2" s="1"/>
  <c r="D135" i="2"/>
  <c r="AP135" i="2" s="1"/>
  <c r="D134" i="2"/>
  <c r="AP134" i="2" s="1"/>
  <c r="D133" i="2"/>
  <c r="AP133" i="2" s="1"/>
  <c r="D132" i="2"/>
  <c r="AP132" i="2" s="1"/>
  <c r="D131" i="2"/>
  <c r="AP131" i="2" s="1"/>
  <c r="D130" i="2"/>
  <c r="AP130" i="2" s="1"/>
  <c r="D129" i="2"/>
  <c r="AP129" i="2" s="1"/>
  <c r="D128" i="2"/>
  <c r="AP128" i="2" s="1"/>
  <c r="D127" i="2"/>
  <c r="AP127" i="2" s="1"/>
  <c r="D126" i="2"/>
  <c r="AP126" i="2" s="1"/>
  <c r="D125" i="2"/>
  <c r="AP125" i="2" s="1"/>
  <c r="D124" i="2"/>
  <c r="AP124" i="2" s="1"/>
  <c r="D123" i="2"/>
  <c r="AP123" i="2" s="1"/>
  <c r="D122" i="2"/>
  <c r="AP122" i="2" s="1"/>
  <c r="D121" i="2"/>
  <c r="AP121" i="2" s="1"/>
  <c r="D120" i="2"/>
  <c r="AP120" i="2" s="1"/>
  <c r="D119" i="2"/>
  <c r="AP119" i="2" s="1"/>
  <c r="D118" i="2"/>
  <c r="AP118" i="2" s="1"/>
  <c r="D117" i="2"/>
  <c r="AP117" i="2" s="1"/>
  <c r="D116" i="2"/>
  <c r="AP116" i="2" s="1"/>
  <c r="D115" i="2"/>
  <c r="AP115" i="2" s="1"/>
  <c r="D114" i="2"/>
  <c r="AP114" i="2" s="1"/>
  <c r="D113" i="2"/>
  <c r="AP113" i="2" s="1"/>
  <c r="D112" i="2"/>
  <c r="AP112" i="2" s="1"/>
  <c r="D111" i="2"/>
  <c r="AP111" i="2" s="1"/>
  <c r="D110" i="2"/>
  <c r="AP110" i="2" s="1"/>
  <c r="D109" i="2"/>
  <c r="AP109" i="2" s="1"/>
  <c r="D108" i="2"/>
  <c r="AP108" i="2" s="1"/>
  <c r="D107" i="2"/>
  <c r="AP107" i="2" s="1"/>
  <c r="D106" i="2"/>
  <c r="AP106" i="2" s="1"/>
  <c r="D105" i="2"/>
  <c r="AP105" i="2" s="1"/>
  <c r="D104" i="2"/>
  <c r="AP104" i="2" s="1"/>
  <c r="AP103" i="2"/>
  <c r="D103" i="2"/>
  <c r="D102" i="2"/>
  <c r="AP102" i="2" s="1"/>
  <c r="D101" i="2"/>
  <c r="AP101" i="2" s="1"/>
  <c r="D100" i="2"/>
  <c r="AP100" i="2" s="1"/>
  <c r="D99" i="2"/>
  <c r="AP99" i="2" s="1"/>
  <c r="D98" i="2"/>
  <c r="AP98" i="2" s="1"/>
  <c r="D97" i="2"/>
  <c r="AP97" i="2" s="1"/>
  <c r="D96" i="2"/>
  <c r="AP96" i="2" s="1"/>
  <c r="D95" i="2"/>
  <c r="AP95" i="2" s="1"/>
  <c r="D94" i="2"/>
  <c r="AP94" i="2" s="1"/>
  <c r="D93" i="2"/>
  <c r="AP93" i="2" s="1"/>
  <c r="D92" i="2"/>
  <c r="AP92" i="2" s="1"/>
  <c r="D91" i="2"/>
  <c r="AP91" i="2" s="1"/>
  <c r="D90" i="2"/>
  <c r="AP90" i="2" s="1"/>
  <c r="D89" i="2"/>
  <c r="AP89" i="2" s="1"/>
  <c r="D88" i="2"/>
  <c r="AP88" i="2" s="1"/>
  <c r="D87" i="2"/>
  <c r="AP87" i="2" s="1"/>
  <c r="D86" i="2"/>
  <c r="AP86" i="2" s="1"/>
  <c r="D85" i="2"/>
  <c r="AP85" i="2" s="1"/>
  <c r="D84" i="2"/>
  <c r="AP84" i="2" s="1"/>
  <c r="D83" i="2"/>
  <c r="AP83" i="2" s="1"/>
  <c r="D82" i="2"/>
  <c r="AP82" i="2" s="1"/>
  <c r="D81" i="2"/>
  <c r="AP81" i="2" s="1"/>
  <c r="D80" i="2"/>
  <c r="AP80" i="2" s="1"/>
  <c r="D79" i="2"/>
  <c r="AP79" i="2" s="1"/>
  <c r="D78" i="2"/>
  <c r="AP78" i="2" s="1"/>
  <c r="D77" i="2"/>
  <c r="AP77" i="2" s="1"/>
  <c r="D76" i="2"/>
  <c r="AP76" i="2" s="1"/>
  <c r="D75" i="2"/>
  <c r="AP75" i="2" s="1"/>
  <c r="D74" i="2"/>
  <c r="AP74" i="2" s="1"/>
  <c r="D73" i="2"/>
  <c r="AP73" i="2" s="1"/>
  <c r="D72" i="2"/>
  <c r="AP72" i="2" s="1"/>
  <c r="D71" i="2"/>
  <c r="AP71" i="2" s="1"/>
  <c r="D70" i="2"/>
  <c r="AP70" i="2" s="1"/>
  <c r="D69" i="2"/>
  <c r="AP69" i="2" s="1"/>
  <c r="D68" i="2"/>
  <c r="AP68" i="2" s="1"/>
  <c r="D67" i="2"/>
  <c r="AP67" i="2" s="1"/>
  <c r="D66" i="2"/>
  <c r="AP66" i="2" s="1"/>
  <c r="D65" i="2"/>
  <c r="AP65" i="2" s="1"/>
  <c r="D64" i="2"/>
  <c r="AP64" i="2" s="1"/>
  <c r="D63" i="2"/>
  <c r="AP63" i="2" s="1"/>
  <c r="D62" i="2"/>
  <c r="AP62" i="2" s="1"/>
  <c r="D61" i="2"/>
  <c r="AP61" i="2" s="1"/>
  <c r="D60" i="2"/>
  <c r="AP60" i="2" s="1"/>
  <c r="D59" i="2"/>
  <c r="AP59" i="2" s="1"/>
  <c r="D58" i="2"/>
  <c r="AP58" i="2" s="1"/>
  <c r="D57" i="2"/>
  <c r="AP57" i="2" s="1"/>
  <c r="D56" i="2"/>
  <c r="AP56" i="2" s="1"/>
  <c r="D55" i="2"/>
  <c r="AP55" i="2" s="1"/>
  <c r="D54" i="2"/>
  <c r="AP54" i="2" s="1"/>
  <c r="D53" i="2"/>
  <c r="AP53" i="2" s="1"/>
  <c r="D52" i="2"/>
  <c r="AP52" i="2" s="1"/>
  <c r="D51" i="2"/>
  <c r="AP51" i="2" s="1"/>
  <c r="D50" i="2"/>
  <c r="AP50" i="2" s="1"/>
  <c r="D49" i="2"/>
  <c r="AP49" i="2" s="1"/>
  <c r="D48" i="2"/>
  <c r="AP48" i="2" s="1"/>
  <c r="D47" i="2"/>
  <c r="AP47" i="2" s="1"/>
  <c r="D46" i="2"/>
  <c r="AP46" i="2" s="1"/>
  <c r="D45" i="2"/>
  <c r="AP45" i="2" s="1"/>
  <c r="D44" i="2"/>
  <c r="AP44" i="2" s="1"/>
  <c r="D43" i="2"/>
  <c r="AP43" i="2" s="1"/>
  <c r="D42" i="2"/>
  <c r="AP42" i="2" s="1"/>
  <c r="D41" i="2"/>
  <c r="AP41" i="2" s="1"/>
  <c r="D40" i="2"/>
  <c r="AP40" i="2" s="1"/>
  <c r="D39" i="2"/>
  <c r="AP39" i="2" s="1"/>
  <c r="D38" i="2"/>
  <c r="AP38" i="2" s="1"/>
  <c r="D37" i="2"/>
  <c r="AP37" i="2" s="1"/>
  <c r="D36" i="2"/>
  <c r="AP36" i="2" s="1"/>
  <c r="D35" i="2"/>
  <c r="AP35" i="2" s="1"/>
  <c r="D34" i="2"/>
  <c r="AP34" i="2" s="1"/>
  <c r="D33" i="2"/>
  <c r="AP33" i="2" s="1"/>
  <c r="D32" i="2"/>
  <c r="AP32" i="2" s="1"/>
  <c r="D31" i="2"/>
  <c r="AP31" i="2" s="1"/>
  <c r="D30" i="2"/>
  <c r="AP30" i="2" s="1"/>
  <c r="D29" i="2"/>
  <c r="AP29" i="2" s="1"/>
  <c r="D28" i="2"/>
  <c r="AP28" i="2" s="1"/>
  <c r="D27" i="2"/>
  <c r="AP27" i="2" s="1"/>
  <c r="D26" i="2"/>
  <c r="AP26" i="2" s="1"/>
  <c r="D25" i="2"/>
  <c r="AP25" i="2" s="1"/>
  <c r="D24" i="2"/>
  <c r="AP24" i="2" s="1"/>
  <c r="D23" i="2"/>
  <c r="AP23" i="2" s="1"/>
  <c r="D22" i="2"/>
  <c r="AP22" i="2" s="1"/>
  <c r="D21" i="2"/>
  <c r="AP21" i="2" s="1"/>
  <c r="D20" i="2"/>
  <c r="AP20" i="2" s="1"/>
  <c r="D19" i="2"/>
  <c r="AP19" i="2" s="1"/>
  <c r="D18" i="2"/>
  <c r="AP18" i="2" s="1"/>
  <c r="D17" i="2"/>
  <c r="AP17" i="2" s="1"/>
  <c r="D16" i="2"/>
  <c r="AP16" i="2" s="1"/>
  <c r="D15" i="2"/>
  <c r="AP15" i="2" s="1"/>
  <c r="D14" i="2"/>
  <c r="AP14" i="2" s="1"/>
  <c r="D13" i="2"/>
  <c r="AP13" i="2" s="1"/>
  <c r="D12" i="2"/>
  <c r="AP12" i="2" s="1"/>
  <c r="D11" i="2"/>
  <c r="AP11" i="2" s="1"/>
  <c r="D10" i="2"/>
  <c r="AP10" i="2" s="1"/>
  <c r="D9" i="2"/>
  <c r="AP9" i="2" s="1"/>
  <c r="D8" i="2"/>
  <c r="AP8" i="2" s="1"/>
  <c r="D7" i="2"/>
  <c r="AP7" i="2" s="1"/>
  <c r="D6" i="2"/>
  <c r="AP6" i="2" s="1"/>
  <c r="D5" i="2"/>
  <c r="AP5" i="2" s="1"/>
  <c r="D4" i="2"/>
  <c r="AP4" i="2" s="1"/>
  <c r="D3" i="2"/>
  <c r="AP3" i="2" s="1"/>
  <c r="D2" i="2"/>
  <c r="AP2" i="2" s="1"/>
  <c r="N73" i="14" l="1"/>
  <c r="AO261" i="2"/>
  <c r="AO260" i="2"/>
  <c r="AO262" i="2"/>
  <c r="AK261" i="2"/>
  <c r="AK260" i="2"/>
  <c r="AK262" i="2"/>
</calcChain>
</file>

<file path=xl/sharedStrings.xml><?xml version="1.0" encoding="utf-8"?>
<sst xmlns="http://schemas.openxmlformats.org/spreadsheetml/2006/main" count="2312" uniqueCount="234">
  <si>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</si>
  <si>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</si>
  <si>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</si>
  <si>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</si>
  <si>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</si>
  <si>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</si>
  <si>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</si>
  <si>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</si>
  <si>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</si>
  <si>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</si>
  <si>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</si>
  <si>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</si>
  <si>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</si>
  <si>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</si>
  <si>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</si>
  <si>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</si>
  <si>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</si>
  <si>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</si>
  <si>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</si>
  <si>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</si>
  <si>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</si>
  <si>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</si>
  <si>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</si>
  <si>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</si>
  <si>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</si>
  <si>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</si>
  <si>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</si>
  <si>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</si>
  <si>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</si>
  <si>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</si>
  <si>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</si>
  <si>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</si>
  <si>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</si>
  <si>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</si>
  <si>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</si>
  <si>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</si>
  <si>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</si>
  <si>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</si>
  <si>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</si>
  <si>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</si>
  <si>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</si>
  <si>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</si>
  <si>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</si>
  <si>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</si>
  <si>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</si>
  <si>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</si>
  <si>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</si>
  <si>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</si>
  <si>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</si>
  <si>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Date</t>
  </si>
  <si>
    <t>Nonalcoholic beverages</t>
  </si>
  <si>
    <t>Food</t>
  </si>
  <si>
    <t>Pan, Tobacco &amp; Intoxicants</t>
  </si>
  <si>
    <t>Clothing &amp; Footwear</t>
  </si>
  <si>
    <t>Fuel &amp; Energy</t>
  </si>
  <si>
    <t>Transport &amp; Communication</t>
  </si>
  <si>
    <t>Covid Period</t>
  </si>
  <si>
    <t>Row Labels</t>
  </si>
  <si>
    <t>Grand Total</t>
  </si>
  <si>
    <t>Average of Food</t>
  </si>
  <si>
    <t>Average of Pan, Tobacco &amp; Intoxicants</t>
  </si>
  <si>
    <t>Average of Clothing &amp; Footwear</t>
  </si>
  <si>
    <t>Average of Fuel &amp; Energy</t>
  </si>
  <si>
    <t>Average of Transport &amp; Communication</t>
  </si>
  <si>
    <t>Total_CPI</t>
  </si>
  <si>
    <t>Housing&amp;Accommodation</t>
  </si>
  <si>
    <t>Household&amp;PersonalCare</t>
  </si>
  <si>
    <t>Healthcare</t>
  </si>
  <si>
    <t>Education &amp; Recreation</t>
  </si>
  <si>
    <t>Miscellaneous2</t>
  </si>
  <si>
    <t>Average of Housing&amp;Accommodation</t>
  </si>
  <si>
    <t>Average of Household&amp;PersonalCare</t>
  </si>
  <si>
    <t>Average of Healthcare</t>
  </si>
  <si>
    <t>Average of Education &amp; Recreation</t>
  </si>
  <si>
    <t>Miscellaneouss</t>
  </si>
  <si>
    <t>Average of Miscellaneouss</t>
  </si>
  <si>
    <t>Average of General index</t>
  </si>
  <si>
    <t>Y-O-O Growth</t>
  </si>
  <si>
    <t>Energy/Fuel</t>
  </si>
  <si>
    <t>Transportation</t>
  </si>
  <si>
    <t xml:space="preserve">Housing </t>
  </si>
  <si>
    <t xml:space="preserve">Education &amp; Recreation </t>
  </si>
  <si>
    <t>Correl Between</t>
  </si>
  <si>
    <t>Strong Positive Correlation Between Energy /Fuel and GI shows whenever Imported oil Prices Increased  our GI Values Also Increased so Oil Import Price flactuation Played major role in inflation during 2021-2023 Period</t>
  </si>
  <si>
    <t>Strong Positive Correlation between Energy/Fuel and Other Clubbed Categories (Food,Transportation,Housing,Healthcare,Education &amp; Recreation and Others) Shows Price Increase due to Increase in Oil Import price.</t>
  </si>
  <si>
    <t>(All)</t>
  </si>
  <si>
    <t>Post-COVID</t>
  </si>
  <si>
    <t>Food CPI Index</t>
  </si>
  <si>
    <t>MoM Change %</t>
  </si>
  <si>
    <t>YoY Food Inflation %</t>
  </si>
  <si>
    <t>Highest MoM Change</t>
  </si>
  <si>
    <t>Lowest MOM Change</t>
  </si>
  <si>
    <t>Highest YOY Change</t>
  </si>
  <si>
    <t>Lowest YOY Change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</si>
  <si>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</si>
  <si>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</si>
  <si>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</si>
  <si>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</si>
  <si>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</si>
  <si>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</si>
  <si>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</si>
  <si>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</si>
  <si>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Sugar and Confectionery</t>
  </si>
  <si>
    <t>Average of Spices</t>
  </si>
  <si>
    <t>Average of Nonalcoholic beverages</t>
  </si>
  <si>
    <t>Average of Prepared meals, snacks, sweets etc.</t>
  </si>
  <si>
    <t>Average of Food and beverages</t>
  </si>
  <si>
    <t>COVID Onset</t>
  </si>
  <si>
    <t>Lockdown</t>
  </si>
  <si>
    <t>Pre-COVID</t>
  </si>
  <si>
    <t>Current General CPI</t>
  </si>
  <si>
    <t>LY General CPI</t>
  </si>
  <si>
    <t>YoY Change CPI</t>
  </si>
  <si>
    <t>Current Food CPI</t>
  </si>
  <si>
    <t>LY Food CPI</t>
  </si>
  <si>
    <t>Current Housing</t>
  </si>
  <si>
    <t>LY Housing</t>
  </si>
  <si>
    <t>Cuurent Health</t>
  </si>
  <si>
    <t>YoY Change Food</t>
  </si>
  <si>
    <t>YoY Change Housing</t>
  </si>
  <si>
    <t>LY Health</t>
  </si>
  <si>
    <t>YoY Change Health</t>
  </si>
  <si>
    <t>Current Transport</t>
  </si>
  <si>
    <t>LY Transport</t>
  </si>
  <si>
    <t>YoY Change Transport</t>
  </si>
  <si>
    <t>COVID Period</t>
  </si>
  <si>
    <t>Category</t>
  </si>
  <si>
    <t>Pre-COVID Avg</t>
  </si>
  <si>
    <t>COVID Onset(Mar-2020)</t>
  </si>
  <si>
    <t>Lockdown Avg</t>
  </si>
  <si>
    <t>Post-Lockdown Avg</t>
  </si>
  <si>
    <t>Overall CPI</t>
  </si>
  <si>
    <t>Change In Pre vs Post-COVID</t>
  </si>
  <si>
    <t>Food Category</t>
  </si>
  <si>
    <t>Jun-2022 CPI</t>
  </si>
  <si>
    <t>May-2023 CPI</t>
  </si>
  <si>
    <t>Absolute Change</t>
  </si>
  <si>
    <t>Change %</t>
  </si>
  <si>
    <t>Rank</t>
  </si>
  <si>
    <t>Indivisual Food Category Analysis</t>
  </si>
  <si>
    <t>Contribution of different CPI categories.</t>
  </si>
  <si>
    <t>Year-over-Year CPI trend.</t>
  </si>
  <si>
    <t>12-month Food CPI trend.</t>
  </si>
  <si>
    <t>COVID impact.</t>
  </si>
  <si>
    <t>Oil price correlation.</t>
  </si>
  <si>
    <t>Pan, Tobacco &amp; Intoxicants contributed the highest share (11.14%) to the CPI index in May 2023.</t>
  </si>
  <si>
    <t>Transport &amp; Communication had the lowest contribution (9.14%) among the major categories.</t>
  </si>
  <si>
    <t>Most categories contributed around 9–10%, indicating a relatively balanced CPI basket.</t>
  </si>
  <si>
    <t>Inflation remained moderate during 2017–2019 before rising sharply in 2020–2022</t>
  </si>
  <si>
    <t>The highest inflation was recorded in 2022 (6.60%), followed by a decline to 3.20% in 2023.</t>
  </si>
  <si>
    <t xml:space="preserve">Inflation peaked in 2022 due to the Russia–Ukraine war, which caused sharp increases in global crude oil, food, and fertilizer prices. </t>
  </si>
  <si>
    <t>These supply-side shocks raised transportation and food costs, pushing India's CPI inflation to its highest level.</t>
  </si>
  <si>
    <t>Food CPI recorded the highest month-on-month increase in June 2022 (1.03%) and the lowest in February 2023 (-0.59%).</t>
  </si>
  <si>
    <t>Food inflation peaked in September 2022 (6.48%) before easing to 3.04% by May 2023.</t>
  </si>
  <si>
    <t>The declining YoY trend in 2023 indicates moderation in food inflation.</t>
  </si>
  <si>
    <t>General CPI increased across all COVID phases, reaching the highest level during the Post-COVID period (165.98).</t>
  </si>
  <si>
    <t>Food CPI also remained elevated after COVID, indicating sustained inflationary pressure beyond the lockdown period.</t>
  </si>
  <si>
    <t>The analysis suggests inflation persisted even after economic activity resumed.</t>
  </si>
  <si>
    <t>Fuel &amp; Energy has a very strong positive correlation (0.98) with the General CPI Index.</t>
  </si>
  <si>
    <t>Housing, Food, Healthcare, and Education also show strong positive correlations with Fuel &amp; Energy.</t>
  </si>
  <si>
    <t>Transportation has the lowest correlation (0.89) among the selected categories</t>
  </si>
  <si>
    <t>although the relationship remains strongly positive.</t>
  </si>
  <si>
    <r>
      <t>Note:</t>
    </r>
    <r>
      <rPr>
        <sz val="16"/>
        <color theme="1"/>
        <rFont val="Calibri"/>
        <family val="2"/>
        <scheme val="minor"/>
      </rPr>
      <t xml:space="preserve"> Correlation indicates the strength of association between variables and should not be interpreted as proof of causation.</t>
    </r>
  </si>
  <si>
    <r>
      <t>Note:</t>
    </r>
    <r>
      <rPr>
        <sz val="20"/>
        <color theme="1"/>
        <rFont val="Calibri"/>
        <family val="2"/>
        <scheme val="minor"/>
      </rPr>
      <t xml:space="preserve"> The dataset captures inflation trends but does not include macroeconomic variables such as crude oil prices, rainfall, or supply-chain disruptions.</t>
    </r>
  </si>
  <si>
    <t>Therefore, root causes cannot be conclusively identified from this dataset alone.</t>
  </si>
  <si>
    <t>Columns</t>
  </si>
  <si>
    <t xml:space="preserve">Data Type </t>
  </si>
  <si>
    <t>Description</t>
  </si>
  <si>
    <t>Text</t>
  </si>
  <si>
    <t>urban,rural, urban+rural</t>
  </si>
  <si>
    <t>Year(Integer)</t>
  </si>
  <si>
    <t>2013 - 2023 years</t>
  </si>
  <si>
    <t>Month(Integer)</t>
  </si>
  <si>
    <t>Number</t>
  </si>
  <si>
    <t>Index value in Cereals &amp; prod.</t>
  </si>
  <si>
    <t>Index value in Meat &amp; fish</t>
  </si>
  <si>
    <t>Index value in Egg</t>
  </si>
  <si>
    <t>Inflation value in Milk &amp; products</t>
  </si>
  <si>
    <t>Index value in Oils &amp; fats</t>
  </si>
  <si>
    <t>Index value in Fruits</t>
  </si>
  <si>
    <t>Index value in Vegetables</t>
  </si>
  <si>
    <t>Index value in Pulses &amp; products</t>
  </si>
  <si>
    <t>Index value in Sugar &amp; Confectionery</t>
  </si>
  <si>
    <t>Index value in Spices</t>
  </si>
  <si>
    <t>Index value in Non &amp; beverages</t>
  </si>
  <si>
    <t>Index value in Prepared meals, snacks, sweets etc.</t>
  </si>
  <si>
    <t>Index value in Food &amp; beverages</t>
  </si>
  <si>
    <t>Index value in Pan, tobacco and intoxicants</t>
  </si>
  <si>
    <t>Index value in Clothing</t>
  </si>
  <si>
    <t>inflation in Footwear</t>
  </si>
  <si>
    <t>Index value in Clothing and footwear</t>
  </si>
  <si>
    <t>Index value in Housing</t>
  </si>
  <si>
    <t>Index value in Fuel and light</t>
  </si>
  <si>
    <t>Index value in Household goods and services</t>
  </si>
  <si>
    <t>Index value in Health</t>
  </si>
  <si>
    <t>Index value in Personal care and effects</t>
  </si>
  <si>
    <t>Index value in Transport and communication</t>
  </si>
  <si>
    <t>Index value in Education</t>
  </si>
  <si>
    <t>Index value in Recreation and amusement</t>
  </si>
  <si>
    <t>Index value in Miscellaneous</t>
  </si>
  <si>
    <t>Overall Index value for the month for all the categories combined</t>
  </si>
  <si>
    <t>Year_Month</t>
  </si>
  <si>
    <t>Date after combining year and month column</t>
  </si>
  <si>
    <t>Clubbed the similar categories</t>
  </si>
  <si>
    <t>Combined columns</t>
  </si>
  <si>
    <t>Food &amp; Beverages</t>
  </si>
  <si>
    <t>Recreation &amp; Amusement</t>
  </si>
  <si>
    <t>Fuel &amp; Light</t>
  </si>
  <si>
    <t>Housing &amp; Accomodation</t>
  </si>
  <si>
    <t>Transport</t>
  </si>
  <si>
    <t>Household &amp; Personal Services</t>
  </si>
  <si>
    <t>Household Goods &amp; Services</t>
  </si>
  <si>
    <t>Personal Care &amp; Effects</t>
  </si>
  <si>
    <t>Data Cleaning</t>
  </si>
  <si>
    <t>Status?</t>
  </si>
  <si>
    <t>Replace NA with Moving Avg.</t>
  </si>
  <si>
    <t>Cleaned</t>
  </si>
  <si>
    <t>Rural- NA &amp; Replace "-" &amp; blanks with moving Avg.</t>
  </si>
  <si>
    <t>Replace blanks with moving Avg.</t>
  </si>
  <si>
    <t>Total CPI</t>
  </si>
  <si>
    <t>Add all the different unique categories</t>
  </si>
  <si>
    <t>Make new column using Year &amp; Month and change to date</t>
  </si>
  <si>
    <t>Sort with Smallest to Largest</t>
  </si>
  <si>
    <t xml:space="preserve"> Formulas Used In The Analysis</t>
  </si>
  <si>
    <t>1. Year-over-Year (YoY) Growth %</t>
  </si>
  <si>
    <t># =(Current Year CPI - Previous Year CPI) / Previous Year CPI</t>
  </si>
  <si>
    <t>2. Month-over-Month (MoM) Growth %</t>
  </si>
  <si>
    <t># =(Current Month CPI - Previous Month CPI) / Previous Month CPI</t>
  </si>
  <si>
    <t>3. Absolute Change</t>
  </si>
  <si>
    <t># =Current Value - Previous Value</t>
  </si>
  <si>
    <t>4. Percentage Change</t>
  </si>
  <si>
    <t>#=(Current Value-Previous Value)/Previous Value</t>
  </si>
  <si>
    <t>5. Contribution of Each Category</t>
  </si>
  <si>
    <t># =(Category CPI / Total CPI)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</si>
</sst>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179A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33" borderId="11" xfId="0" applyFont="1" applyFill="1" applyBorder="1"/>
    <xf numFmtId="0" fontId="0" fillId="0" borderId="11" xfId="0" applyFont="1" applyBorder="1"/>
    <xf numFmtId="164" fontId="0" fillId="0" borderId="0" xfId="0" applyNumberFormat="1"/>
    <xf numFmtId="2" fontId="0" fillId="0" borderId="0" xfId="0" applyNumberFormat="1"/>
    <xf numFmtId="0" fontId="13" fillId="34" borderId="11" xfId="0" applyFont="1" applyFill="1" applyBorder="1"/>
    <xf numFmtId="0" fontId="0" fillId="35" borderId="0" xfId="0" applyFill="1"/>
    <xf numFmtId="0" fontId="13" fillId="35" borderId="11" xfId="0" applyFont="1" applyFill="1" applyBorder="1"/>
    <xf numFmtId="0" fontId="17" fillId="3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16" fillId="33" borderId="13" xfId="0" applyFont="1" applyFill="1" applyBorder="1" applyAlignment="1">
      <alignment horizontal="left" vertical="top"/>
    </xf>
    <xf numFmtId="2" fontId="0" fillId="35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10" fontId="0" fillId="0" borderId="0" xfId="0" applyNumberFormat="1"/>
    <xf numFmtId="0" fontId="0" fillId="39" borderId="0" xfId="0" applyFill="1"/>
    <xf numFmtId="0" fontId="0" fillId="0" borderId="0" xfId="0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3" fillId="34" borderId="12" xfId="0" applyFont="1" applyFill="1" applyBorder="1" applyAlignment="1">
      <alignment horizontal="center"/>
    </xf>
    <xf numFmtId="0" fontId="13" fillId="38" borderId="10" xfId="0" applyFont="1" applyFill="1" applyBorder="1"/>
    <xf numFmtId="10" fontId="0" fillId="0" borderId="21" xfId="42" applyNumberFormat="1" applyFont="1" applyBorder="1"/>
    <xf numFmtId="10" fontId="0" fillId="0" borderId="21" xfId="0" applyNumberFormat="1" applyBorder="1"/>
    <xf numFmtId="164" fontId="0" fillId="0" borderId="17" xfId="0" applyNumberFormat="1" applyBorder="1" applyAlignment="1">
      <alignment horizontal="left"/>
    </xf>
    <xf numFmtId="2" fontId="0" fillId="0" borderId="0" xfId="0" applyNumberFormat="1" applyBorder="1"/>
    <xf numFmtId="0" fontId="0" fillId="0" borderId="0" xfId="0" applyBorder="1"/>
    <xf numFmtId="10" fontId="0" fillId="0" borderId="0" xfId="0" applyNumberFormat="1" applyBorder="1"/>
    <xf numFmtId="10" fontId="0" fillId="0" borderId="18" xfId="0" applyNumberFormat="1" applyBorder="1"/>
    <xf numFmtId="10" fontId="0" fillId="0" borderId="23" xfId="0" applyNumberFormat="1" applyBorder="1"/>
    <xf numFmtId="10" fontId="0" fillId="0" borderId="20" xfId="0" applyNumberFormat="1" applyBorder="1"/>
    <xf numFmtId="0" fontId="16" fillId="36" borderId="15" xfId="0" applyFont="1" applyFill="1" applyBorder="1"/>
    <xf numFmtId="0" fontId="16" fillId="36" borderId="22" xfId="0" applyFont="1" applyFill="1" applyBorder="1"/>
    <xf numFmtId="0" fontId="16" fillId="36" borderId="16" xfId="0" applyFont="1" applyFill="1" applyBorder="1"/>
    <xf numFmtId="2" fontId="0" fillId="40" borderId="0" xfId="0" applyNumberFormat="1" applyFill="1" applyBorder="1"/>
    <xf numFmtId="2" fontId="0" fillId="40" borderId="23" xfId="0" applyNumberFormat="1" applyFill="1" applyBorder="1"/>
    <xf numFmtId="164" fontId="0" fillId="41" borderId="17" xfId="0" applyNumberFormat="1" applyFill="1" applyBorder="1" applyAlignment="1">
      <alignment horizontal="left"/>
    </xf>
    <xf numFmtId="164" fontId="0" fillId="41" borderId="19" xfId="0" applyNumberFormat="1" applyFill="1" applyBorder="1" applyAlignment="1">
      <alignment horizontal="left"/>
    </xf>
    <xf numFmtId="17" fontId="0" fillId="42" borderId="26" xfId="0" applyNumberFormat="1" applyFill="1" applyBorder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4" fontId="0" fillId="0" borderId="0" xfId="0" applyNumberFormat="1" applyBorder="1" applyAlignment="1">
      <alignment horizontal="left"/>
    </xf>
    <xf numFmtId="0" fontId="0" fillId="43" borderId="0" xfId="0" applyFill="1"/>
    <xf numFmtId="0" fontId="0" fillId="40" borderId="21" xfId="0" applyFill="1" applyBorder="1"/>
    <xf numFmtId="2" fontId="0" fillId="40" borderId="21" xfId="0" applyNumberFormat="1" applyFill="1" applyBorder="1"/>
    <xf numFmtId="0" fontId="16" fillId="44" borderId="15" xfId="0" applyFont="1" applyFill="1" applyBorder="1" applyAlignment="1">
      <alignment horizontal="center" vertical="center" wrapText="1"/>
    </xf>
    <xf numFmtId="0" fontId="16" fillId="44" borderId="22" xfId="0" applyFont="1" applyFill="1" applyBorder="1" applyAlignment="1">
      <alignment horizontal="center" vertical="center" wrapText="1"/>
    </xf>
    <xf numFmtId="0" fontId="18" fillId="44" borderId="16" xfId="0" applyFont="1" applyFill="1" applyBorder="1"/>
    <xf numFmtId="164" fontId="0" fillId="44" borderId="17" xfId="0" applyNumberFormat="1" applyFill="1" applyBorder="1" applyAlignment="1">
      <alignment horizontal="left"/>
    </xf>
    <xf numFmtId="2" fontId="0" fillId="44" borderId="0" xfId="0" applyNumberFormat="1" applyFill="1" applyBorder="1"/>
    <xf numFmtId="10" fontId="0" fillId="44" borderId="0" xfId="0" applyNumberFormat="1" applyFill="1" applyBorder="1"/>
    <xf numFmtId="2" fontId="16" fillId="44" borderId="0" xfId="0" applyNumberFormat="1" applyFont="1" applyFill="1" applyBorder="1" applyAlignment="1">
      <alignment horizontal="center" vertical="center" wrapText="1"/>
    </xf>
    <xf numFmtId="0" fontId="0" fillId="44" borderId="0" xfId="0" applyFill="1" applyBorder="1"/>
    <xf numFmtId="0" fontId="0" fillId="44" borderId="18" xfId="0" applyFill="1" applyBorder="1"/>
    <xf numFmtId="164" fontId="0" fillId="44" borderId="19" xfId="0" applyNumberFormat="1" applyFill="1" applyBorder="1" applyAlignment="1">
      <alignment horizontal="left"/>
    </xf>
    <xf numFmtId="2" fontId="0" fillId="44" borderId="23" xfId="0" applyNumberFormat="1" applyFill="1" applyBorder="1"/>
    <xf numFmtId="10" fontId="0" fillId="44" borderId="23" xfId="0" applyNumberFormat="1" applyFill="1" applyBorder="1"/>
    <xf numFmtId="0" fontId="0" fillId="44" borderId="23" xfId="0" applyFill="1" applyBorder="1"/>
    <xf numFmtId="0" fontId="0" fillId="44" borderId="20" xfId="0" applyFill="1" applyBorder="1"/>
    <xf numFmtId="0" fontId="0" fillId="40" borderId="0" xfId="0" applyFill="1"/>
    <xf numFmtId="164" fontId="0" fillId="40" borderId="0" xfId="0" applyNumberFormat="1" applyFill="1" applyAlignment="1">
      <alignment horizontal="left"/>
    </xf>
    <xf numFmtId="2" fontId="0" fillId="40" borderId="0" xfId="0" applyNumberFormat="1" applyFill="1"/>
    <xf numFmtId="0" fontId="0" fillId="45" borderId="0" xfId="0" applyFill="1"/>
    <xf numFmtId="0" fontId="0" fillId="45" borderId="0" xfId="0" applyFill="1" applyAlignment="1">
      <alignment horizontal="left"/>
    </xf>
    <xf numFmtId="2" fontId="0" fillId="45" borderId="0" xfId="0" applyNumberFormat="1" applyFill="1"/>
    <xf numFmtId="10" fontId="0" fillId="36" borderId="0" xfId="0" applyNumberFormat="1" applyFill="1"/>
    <xf numFmtId="0" fontId="0" fillId="44" borderId="0" xfId="0" applyFill="1"/>
    <xf numFmtId="164" fontId="0" fillId="44" borderId="0" xfId="0" applyNumberFormat="1" applyFill="1" applyAlignment="1">
      <alignment horizontal="left"/>
    </xf>
    <xf numFmtId="2" fontId="0" fillId="44" borderId="0" xfId="0" applyNumberFormat="1" applyFill="1"/>
    <xf numFmtId="2" fontId="0" fillId="46" borderId="0" xfId="0" applyNumberFormat="1" applyFill="1"/>
    <xf numFmtId="10" fontId="0" fillId="46" borderId="0" xfId="0" applyNumberFormat="1" applyFill="1"/>
    <xf numFmtId="0" fontId="0" fillId="46" borderId="0" xfId="0" applyFill="1"/>
    <xf numFmtId="0" fontId="16" fillId="47" borderId="21" xfId="0" applyFont="1" applyFill="1" applyBorder="1" applyAlignment="1">
      <alignment horizontal="center" vertical="center"/>
    </xf>
    <xf numFmtId="0" fontId="0" fillId="36" borderId="0" xfId="0" applyFill="1"/>
    <xf numFmtId="0" fontId="25" fillId="36" borderId="0" xfId="0" applyFont="1" applyFill="1" applyAlignment="1"/>
    <xf numFmtId="0" fontId="20" fillId="36" borderId="0" xfId="0" applyFont="1" applyFill="1" applyAlignment="1"/>
    <xf numFmtId="0" fontId="0" fillId="36" borderId="0" xfId="0" applyFill="1" applyAlignment="1"/>
    <xf numFmtId="0" fontId="20" fillId="36" borderId="0" xfId="0" applyFont="1" applyFill="1"/>
    <xf numFmtId="0" fontId="26" fillId="36" borderId="0" xfId="0" applyFont="1" applyFill="1" applyAlignment="1">
      <alignment vertical="top"/>
    </xf>
    <xf numFmtId="0" fontId="26" fillId="36" borderId="0" xfId="0" applyFont="1" applyFill="1" applyAlignment="1"/>
    <xf numFmtId="0" fontId="27" fillId="39" borderId="0" xfId="0" applyFont="1" applyFill="1"/>
    <xf numFmtId="0" fontId="25" fillId="39" borderId="0" xfId="0" applyFont="1" applyFill="1" applyAlignment="1"/>
    <xf numFmtId="0" fontId="28" fillId="39" borderId="0" xfId="0" applyFont="1" applyFill="1" applyAlignment="1"/>
    <xf numFmtId="0" fontId="19" fillId="48" borderId="21" xfId="0" applyFont="1" applyFill="1" applyBorder="1"/>
    <xf numFmtId="0" fontId="0" fillId="49" borderId="21" xfId="0" applyFill="1" applyBorder="1"/>
    <xf numFmtId="0" fontId="0" fillId="50" borderId="21" xfId="0" applyFill="1" applyBorder="1"/>
    <xf numFmtId="0" fontId="0" fillId="51" borderId="21" xfId="0" applyFill="1" applyBorder="1" applyAlignment="1">
      <alignment horizontal="center" vertical="center"/>
    </xf>
    <xf numFmtId="0" fontId="0" fillId="51" borderId="21" xfId="0" applyFill="1" applyBorder="1" applyAlignment="1">
      <alignment horizontal="center" vertical="center" wrapText="1"/>
    </xf>
    <xf numFmtId="0" fontId="0" fillId="52" borderId="21" xfId="0" applyFill="1" applyBorder="1"/>
    <xf numFmtId="0" fontId="16" fillId="48" borderId="21" xfId="0" applyFont="1" applyFill="1" applyBorder="1"/>
    <xf numFmtId="0" fontId="0" fillId="0" borderId="21" xfId="0" applyBorder="1" applyAlignment="1">
      <alignment horizontal="center"/>
    </xf>
    <xf numFmtId="0" fontId="0" fillId="54" borderId="21" xfId="0" applyFill="1" applyBorder="1"/>
    <xf numFmtId="0" fontId="0" fillId="45" borderId="21" xfId="0" applyFill="1" applyBorder="1"/>
    <xf numFmtId="0" fontId="0" fillId="53" borderId="21" xfId="0" applyFill="1" applyBorder="1"/>
    <xf numFmtId="0" fontId="0" fillId="57" borderId="21" xfId="0" applyFill="1" applyBorder="1"/>
    <xf numFmtId="0" fontId="0" fillId="51" borderId="21" xfId="0" applyFill="1" applyBorder="1"/>
    <xf numFmtId="0" fontId="0" fillId="58" borderId="21" xfId="0" applyFill="1" applyBorder="1"/>
    <xf numFmtId="0" fontId="29" fillId="47" borderId="0" xfId="0" applyFont="1" applyFill="1"/>
    <xf numFmtId="0" fontId="29" fillId="59" borderId="0" xfId="0" applyFont="1" applyFill="1"/>
    <xf numFmtId="0" fontId="0" fillId="59" borderId="0" xfId="0" applyFill="1"/>
    <xf numFmtId="0" fontId="0" fillId="47" borderId="0" xfId="0" applyFill="1"/>
    <xf numFmtId="0" fontId="29" fillId="59" borderId="0" xfId="0" applyFont="1" applyFill="1" applyAlignment="1"/>
    <xf numFmtId="0" fontId="22" fillId="41" borderId="0" xfId="0" applyFont="1" applyFill="1" applyAlignment="1">
      <alignment horizontal="center"/>
    </xf>
    <xf numFmtId="0" fontId="25" fillId="36" borderId="0" xfId="0" applyFont="1" applyFill="1" applyAlignment="1">
      <alignment horizontal="center"/>
    </xf>
    <xf numFmtId="0" fontId="23" fillId="41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16" fillId="36" borderId="24" xfId="0" applyFont="1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36" borderId="21" xfId="0" applyFont="1" applyFill="1" applyBorder="1" applyAlignment="1">
      <alignment horizontal="center" vertical="center" wrapText="1"/>
    </xf>
    <xf numFmtId="0" fontId="19" fillId="36" borderId="2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4" fillId="41" borderId="0" xfId="0" applyFont="1" applyFill="1" applyAlignment="1">
      <alignment horizontal="center"/>
    </xf>
    <xf numFmtId="0" fontId="26" fillId="3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21" fillId="53" borderId="21" xfId="0" applyFont="1" applyFill="1" applyBorder="1" applyAlignment="1">
      <alignment horizontal="center"/>
    </xf>
    <xf numFmtId="0" fontId="0" fillId="54" borderId="21" xfId="0" applyFill="1" applyBorder="1" applyAlignment="1">
      <alignment horizontal="center" vertical="center" wrapText="1"/>
    </xf>
    <xf numFmtId="0" fontId="0" fillId="45" borderId="21" xfId="0" applyFill="1" applyBorder="1" applyAlignment="1">
      <alignment horizontal="center" vertical="center" wrapText="1"/>
    </xf>
    <xf numFmtId="0" fontId="0" fillId="36" borderId="21" xfId="0" applyFill="1" applyBorder="1" applyAlignment="1">
      <alignment horizontal="center" vertical="center" wrapText="1"/>
    </xf>
    <xf numFmtId="0" fontId="0" fillId="55" borderId="21" xfId="0" applyFill="1" applyBorder="1" applyAlignment="1">
      <alignment horizontal="center" vertical="center" wrapText="1"/>
    </xf>
    <xf numFmtId="0" fontId="0" fillId="36" borderId="27" xfId="0" applyFill="1" applyBorder="1" applyAlignment="1">
      <alignment horizontal="center"/>
    </xf>
    <xf numFmtId="0" fontId="0" fillId="36" borderId="28" xfId="0" applyFill="1" applyBorder="1" applyAlignment="1">
      <alignment horizontal="center"/>
    </xf>
    <xf numFmtId="0" fontId="0" fillId="36" borderId="29" xfId="0" applyFill="1" applyBorder="1" applyAlignment="1">
      <alignment horizontal="center"/>
    </xf>
    <xf numFmtId="0" fontId="0" fillId="55" borderId="27" xfId="0" applyFill="1" applyBorder="1" applyAlignment="1">
      <alignment horizontal="center"/>
    </xf>
    <xf numFmtId="0" fontId="0" fillId="55" borderId="29" xfId="0" applyFill="1" applyBorder="1" applyAlignment="1">
      <alignment horizontal="center"/>
    </xf>
    <xf numFmtId="0" fontId="16" fillId="53" borderId="21" xfId="0" applyFont="1" applyFill="1" applyBorder="1" applyAlignment="1">
      <alignment horizontal="center"/>
    </xf>
    <xf numFmtId="0" fontId="27" fillId="53" borderId="21" xfId="0" applyFont="1" applyFill="1" applyBorder="1" applyAlignment="1">
      <alignment horizontal="center" vertical="center"/>
    </xf>
    <xf numFmtId="0" fontId="29" fillId="52" borderId="0" xfId="0" applyFont="1" applyFill="1" applyAlignment="1">
      <alignment horizontal="center"/>
    </xf>
    <xf numFmtId="0" fontId="29" fillId="47" borderId="0" xfId="0" applyFont="1" applyFill="1" applyAlignment="1">
      <alignment horizontal="center"/>
    </xf>
    <xf numFmtId="0" fontId="29" fillId="59" borderId="0" xfId="0" applyFont="1" applyFill="1" applyAlignment="1">
      <alignment horizontal="center"/>
    </xf>
    <xf numFmtId="0" fontId="0" fillId="47" borderId="0" xfId="0" applyFill="1" applyAlignment="1">
      <alignment horizontal="center"/>
    </xf>
    <xf numFmtId="0" fontId="0" fillId="53" borderId="21" xfId="0" applyFill="1" applyBorder="1" applyAlignment="1">
      <alignment horizontal="center"/>
    </xf>
    <xf numFmtId="0" fontId="0" fillId="52" borderId="21" xfId="0" applyFill="1" applyBorder="1" applyAlignment="1">
      <alignment horizontal="center"/>
    </xf>
    <xf numFmtId="0" fontId="0" fillId="47" borderId="21" xfId="0" applyFill="1" applyBorder="1" applyAlignment="1">
      <alignment horizontal="center"/>
    </xf>
    <xf numFmtId="0" fontId="0" fillId="56" borderId="27" xfId="0" applyFill="1" applyBorder="1" applyAlignment="1">
      <alignment horizontal="center"/>
    </xf>
    <xf numFmtId="0" fontId="0" fillId="56" borderId="29" xfId="0" applyFill="1" applyBorder="1" applyAlignment="1">
      <alignment horizontal="center"/>
    </xf>
    <xf numFmtId="0" fontId="0" fillId="39" borderId="21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0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2" formatCode="0.0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2" formatCode="0.00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2" formatCode="0.00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2" formatCode="0.00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Contribution</a:t>
            </a:r>
            <a:r>
              <a:rPr lang="en-IN" sz="2000" baseline="0"/>
              <a:t> of Different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7A-4423-914D-C129B59E2A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7A-4423-914D-C129B59E2A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7A-4423-914D-C129B59E2A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7A-4423-914D-C129B59E2A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7A-4423-914D-C129B59E2A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7A-4423-914D-C129B59E2A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7A-4423-914D-C129B59E2A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B7A-4423-914D-C129B59E2A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B7A-4423-914D-C129B59E2A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B7A-4423-914D-C129B59E2AA6}"/>
              </c:ext>
            </c:extLst>
          </c:dPt>
          <c:dLbls>
            <c:dLbl>
              <c:idx val="0"/>
              <c:layout>
                <c:manualLayout>
                  <c:x val="1.1280313844977494E-2"/>
                  <c:y val="-7.3394495412844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7A-4423-914D-C129B59E2AA6}"/>
                </c:ext>
              </c:extLst>
            </c:dLbl>
            <c:dLbl>
              <c:idx val="1"/>
              <c:layout>
                <c:manualLayout>
                  <c:x val="4.0609129841919278E-2"/>
                  <c:y val="-5.708460754332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7A-4423-914D-C129B59E2AA6}"/>
                </c:ext>
              </c:extLst>
            </c:dLbl>
            <c:dLbl>
              <c:idx val="2"/>
              <c:layout>
                <c:manualLayout>
                  <c:x val="6.5425820300869866E-2"/>
                  <c:y val="2.44648318042813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7A-4423-914D-C129B59E2AA6}"/>
                </c:ext>
              </c:extLst>
            </c:dLbl>
            <c:dLbl>
              <c:idx val="3"/>
              <c:layout>
                <c:manualLayout>
                  <c:x val="4.7377318148905744E-2"/>
                  <c:y val="6.931702344546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7A-4423-914D-C129B59E2AA6}"/>
                </c:ext>
              </c:extLst>
            </c:dLbl>
            <c:dLbl>
              <c:idx val="4"/>
              <c:layout>
                <c:manualLayout>
                  <c:x val="1.5792439382968527E-2"/>
                  <c:y val="6.1162079510703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7A-4423-914D-C129B59E2AA6}"/>
                </c:ext>
              </c:extLst>
            </c:dLbl>
            <c:dLbl>
              <c:idx val="5"/>
              <c:layout>
                <c:manualLayout>
                  <c:x val="-2.0304564920959639E-2"/>
                  <c:y val="5.3007135575942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B7A-4423-914D-C129B59E2AA6}"/>
                </c:ext>
              </c:extLst>
            </c:dLbl>
            <c:dLbl>
              <c:idx val="6"/>
              <c:layout>
                <c:manualLayout>
                  <c:x val="-4.060912984191932E-2"/>
                  <c:y val="4.4852191641182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7A-4423-914D-C129B59E2AA6}"/>
                </c:ext>
              </c:extLst>
            </c:dLbl>
            <c:dLbl>
              <c:idx val="7"/>
              <c:layout>
                <c:manualLayout>
                  <c:x val="-5.1889443686896901E-2"/>
                  <c:y val="4.07747196738022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B7A-4423-914D-C129B59E2AA6}"/>
                </c:ext>
              </c:extLst>
            </c:dLbl>
            <c:dLbl>
              <c:idx val="8"/>
              <c:layout>
                <c:manualLayout>
                  <c:x val="-4.7377318148905827E-2"/>
                  <c:y val="-6.1162079510703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B7A-4423-914D-C129B59E2AA6}"/>
                </c:ext>
              </c:extLst>
            </c:dLbl>
            <c:dLbl>
              <c:idx val="9"/>
              <c:layout>
                <c:manualLayout>
                  <c:x val="0"/>
                  <c:y val="-6.9317023445463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B7A-4423-914D-C129B59E2A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Objective1!$A$14:$A$23</c:f>
              <c:strCache>
                <c:ptCount val="10"/>
                <c:pt idx="0">
                  <c:v>Food</c:v>
                </c:pt>
                <c:pt idx="1">
                  <c:v>Pan, Tobacco &amp; Intoxicants</c:v>
                </c:pt>
                <c:pt idx="2">
                  <c:v>Clothing &amp; Footwear</c:v>
                </c:pt>
                <c:pt idx="3">
                  <c:v>Fuel &amp; Energy</c:v>
                </c:pt>
                <c:pt idx="4">
                  <c:v>Transport &amp; Communication</c:v>
                </c:pt>
                <c:pt idx="5">
                  <c:v>Housing&amp;Accommodation</c:v>
                </c:pt>
                <c:pt idx="6">
                  <c:v>Household&amp;PersonalCare</c:v>
                </c:pt>
                <c:pt idx="7">
                  <c:v>Healthcare</c:v>
                </c:pt>
                <c:pt idx="8">
                  <c:v>Education &amp; Recreation</c:v>
                </c:pt>
                <c:pt idx="9">
                  <c:v>Miscellaneous2</c:v>
                </c:pt>
              </c:strCache>
            </c:strRef>
          </c:cat>
          <c:val>
            <c:numRef>
              <c:f>Objective1!$C$14:$C$23</c:f>
              <c:numCache>
                <c:formatCode>0.00</c:formatCode>
                <c:ptCount val="10"/>
                <c:pt idx="0">
                  <c:v>9.8388482887893254</c:v>
                </c:pt>
                <c:pt idx="1">
                  <c:v>11.144354145652827</c:v>
                </c:pt>
                <c:pt idx="2">
                  <c:v>10.323774835425652</c:v>
                </c:pt>
                <c:pt idx="3">
                  <c:v>10.135263372265356</c:v>
                </c:pt>
                <c:pt idx="4">
                  <c:v>9.137261508475552</c:v>
                </c:pt>
                <c:pt idx="5">
                  <c:v>9.736062626749435</c:v>
                </c:pt>
                <c:pt idx="6">
                  <c:v>9.9911075474957176</c:v>
                </c:pt>
                <c:pt idx="7">
                  <c:v>10.296052561431491</c:v>
                </c:pt>
                <c:pt idx="8">
                  <c:v>9.6556680321663659</c:v>
                </c:pt>
                <c:pt idx="9">
                  <c:v>9.7416070815482669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B7A-4423-914D-C129B59E2A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Year-over-Year CPI Growth (2017–2023)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Objective2!$E$5</c:f>
              <c:strCache>
                <c:ptCount val="1"/>
                <c:pt idx="0">
                  <c:v>Y-O-O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Objective2!$D$6:$D$12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Objective2!$E$6:$E$12</c:f>
              <c:numCache>
                <c:formatCode>0.00%</c:formatCode>
                <c:ptCount val="7"/>
                <c:pt idx="0">
                  <c:v>3.3199931147258686E-2</c:v>
                </c:pt>
                <c:pt idx="1">
                  <c:v>3.9609321310314437E-2</c:v>
                </c:pt>
                <c:pt idx="2">
                  <c:v>3.9358550145593821E-2</c:v>
                </c:pt>
                <c:pt idx="3">
                  <c:v>6.019336164725362E-2</c:v>
                </c:pt>
                <c:pt idx="4">
                  <c:v>5.6372593575596465E-2</c:v>
                </c:pt>
                <c:pt idx="5">
                  <c:v>6.6029943211151437E-2</c:v>
                </c:pt>
                <c:pt idx="6">
                  <c:v>3.195312121652364E-2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1-477E-89A4-612E0F05CB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2304080"/>
        <c:axId val="1978786176"/>
      </c:lineChart>
      <c:catAx>
        <c:axId val="55230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786176"/>
        <c:crosses val="autoZero"/>
        <c:auto val="1"/>
        <c:lblAlgn val="ctr"/>
        <c:lblOffset val="100"/>
        <c:noMultiLvlLbl val="0"/>
      </c:catAx>
      <c:valAx>
        <c:axId val="19787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0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aseline="0"/>
              <a:t>Percentage Change in Different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Objective4!$J$71</c:f>
              <c:strCache>
                <c:ptCount val="1"/>
                <c:pt idx="0">
                  <c:v>Pre-COVID Avg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Objective4!$I$72:$I$77</c:f>
              <c:strCache>
                <c:ptCount val="6"/>
                <c:pt idx="1">
                  <c:v>Overall CPI</c:v>
                </c:pt>
                <c:pt idx="2">
                  <c:v>Food</c:v>
                </c:pt>
                <c:pt idx="3">
                  <c:v>Health</c:v>
                </c:pt>
                <c:pt idx="4">
                  <c:v>Transport &amp; Communication</c:v>
                </c:pt>
                <c:pt idx="5">
                  <c:v>Housing</c:v>
                </c:pt>
              </c:strCache>
            </c:strRef>
          </c:cat>
          <c:val>
            <c:numRef>
              <c:f>Objective4!$J$72:$J$77</c:f>
              <c:numCache>
                <c:formatCode>0.00%</c:formatCode>
                <c:ptCount val="6"/>
                <c:pt idx="1">
                  <c:v>4.4762980600048824E-2</c:v>
                </c:pt>
                <c:pt idx="2">
                  <c:v>4.6027448085184226E-2</c:v>
                </c:pt>
                <c:pt idx="3">
                  <c:v>7.2504779791394039E-2</c:v>
                </c:pt>
                <c:pt idx="4">
                  <c:v>2.6134878835609755E-2</c:v>
                </c:pt>
                <c:pt idx="5">
                  <c:v>4.9933100109162756E-2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5-4B55-80B2-92D7E116AAFA}"/>
            </c:ext>
          </c:extLst>
        </c:ser>
        <c:ser>
          <c:idx val="1"/>
          <c:order val="1"/>
          <c:tx>
            <c:strRef>
              <c:f>Objective4!$K$71</c:f>
              <c:strCache>
                <c:ptCount val="1"/>
                <c:pt idx="0">
                  <c:v>COVID Onset(Mar-2020)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Objective4!$I$72:$I$77</c:f>
              <c:strCache>
                <c:ptCount val="6"/>
                <c:pt idx="1">
                  <c:v>Overall CPI</c:v>
                </c:pt>
                <c:pt idx="2">
                  <c:v>Food</c:v>
                </c:pt>
                <c:pt idx="3">
                  <c:v>Health</c:v>
                </c:pt>
                <c:pt idx="4">
                  <c:v>Transport &amp; Communication</c:v>
                </c:pt>
                <c:pt idx="5">
                  <c:v>Housing</c:v>
                </c:pt>
              </c:strCache>
            </c:strRef>
          </c:cat>
          <c:val>
            <c:numRef>
              <c:f>Objective4!$K$72:$K$77</c:f>
              <c:numCache>
                <c:formatCode>0.00%</c:formatCode>
                <c:ptCount val="6"/>
                <c:pt idx="1">
                  <c:v>6.2455303933253825E-2</c:v>
                </c:pt>
                <c:pt idx="2">
                  <c:v>7.9145561815870735E-2</c:v>
                </c:pt>
                <c:pt idx="3">
                  <c:v>4.6082949308756005E-2</c:v>
                </c:pt>
                <c:pt idx="4">
                  <c:v>4.8348106365833976E-2</c:v>
                </c:pt>
                <c:pt idx="5">
                  <c:v>4.0404040404040442E-2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5-4B55-80B2-92D7E116AAFA}"/>
            </c:ext>
          </c:extLst>
        </c:ser>
        <c:ser>
          <c:idx val="2"/>
          <c:order val="2"/>
          <c:tx>
            <c:strRef>
              <c:f>Objective4!$L$71</c:f>
              <c:strCache>
                <c:ptCount val="1"/>
                <c:pt idx="0">
                  <c:v>Lockdown Avg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Objective4!$I$72:$I$77</c:f>
              <c:strCache>
                <c:ptCount val="6"/>
                <c:pt idx="1">
                  <c:v>Overall CPI</c:v>
                </c:pt>
                <c:pt idx="2">
                  <c:v>Food</c:v>
                </c:pt>
                <c:pt idx="3">
                  <c:v>Health</c:v>
                </c:pt>
                <c:pt idx="4">
                  <c:v>Transport &amp; Communication</c:v>
                </c:pt>
                <c:pt idx="5">
                  <c:v>Housing</c:v>
                </c:pt>
              </c:strCache>
            </c:strRef>
          </c:cat>
          <c:val>
            <c:numRef>
              <c:f>Objective4!$L$72:$L$77</c:f>
              <c:numCache>
                <c:formatCode>0.00%</c:formatCode>
                <c:ptCount val="6"/>
                <c:pt idx="1">
                  <c:v>6.3767180500716947E-2</c:v>
                </c:pt>
                <c:pt idx="2">
                  <c:v>0.10330700822073935</c:v>
                </c:pt>
                <c:pt idx="3">
                  <c:v>3.5754194773271575E-2</c:v>
                </c:pt>
                <c:pt idx="4">
                  <c:v>6.1893599766734031E-2</c:v>
                </c:pt>
                <c:pt idx="5">
                  <c:v>3.8969769594319636E-2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5-4B55-80B2-92D7E116AAFA}"/>
            </c:ext>
          </c:extLst>
        </c:ser>
        <c:ser>
          <c:idx val="3"/>
          <c:order val="3"/>
          <c:tx>
            <c:strRef>
              <c:f>Objective4!$M$71</c:f>
              <c:strCache>
                <c:ptCount val="1"/>
                <c:pt idx="0">
                  <c:v>Post-Lockdown Avg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Objective4!$I$72:$I$77</c:f>
              <c:strCache>
                <c:ptCount val="6"/>
                <c:pt idx="1">
                  <c:v>Overall CPI</c:v>
                </c:pt>
                <c:pt idx="2">
                  <c:v>Food</c:v>
                </c:pt>
                <c:pt idx="3">
                  <c:v>Health</c:v>
                </c:pt>
                <c:pt idx="4">
                  <c:v>Transport &amp; Communication</c:v>
                </c:pt>
                <c:pt idx="5">
                  <c:v>Housing</c:v>
                </c:pt>
              </c:strCache>
            </c:strRef>
          </c:cat>
          <c:val>
            <c:numRef>
              <c:f>Objective4!$M$72:$M$77</c:f>
              <c:numCache>
                <c:formatCode>0.00%</c:formatCode>
                <c:ptCount val="6"/>
                <c:pt idx="1">
                  <c:v>6.0303647584102386E-2</c:v>
                </c:pt>
                <c:pt idx="2">
                  <c:v>6.4084435391799852E-2</c:v>
                </c:pt>
                <c:pt idx="3">
                  <c:v>6.4888139747499976E-2</c:v>
                </c:pt>
                <c:pt idx="4">
                  <c:v>8.3360827549968777E-2</c:v>
                </c:pt>
                <c:pt idx="5">
                  <c:v>3.8373194184868537E-2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B5-4B55-80B2-92D7E116AAFA}"/>
            </c:ext>
          </c:extLst>
        </c:ser>
        <c:ser>
          <c:idx val="4"/>
          <c:order val="4"/>
          <c:tx>
            <c:strRef>
              <c:f>Objective4!$N$71</c:f>
              <c:strCache>
                <c:ptCount val="1"/>
                <c:pt idx="0">
                  <c:v>Change In Pre vs Post-COVID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Objective4!$I$72:$I$77</c:f>
              <c:strCache>
                <c:ptCount val="6"/>
                <c:pt idx="1">
                  <c:v>Overall CPI</c:v>
                </c:pt>
                <c:pt idx="2">
                  <c:v>Food</c:v>
                </c:pt>
                <c:pt idx="3">
                  <c:v>Health</c:v>
                </c:pt>
                <c:pt idx="4">
                  <c:v>Transport &amp; Communication</c:v>
                </c:pt>
                <c:pt idx="5">
                  <c:v>Housing</c:v>
                </c:pt>
              </c:strCache>
            </c:strRef>
          </c:cat>
          <c:val>
            <c:numRef>
              <c:f>Objective4!$N$72:$N$77</c:f>
              <c:numCache>
                <c:formatCode>0.00%</c:formatCode>
                <c:ptCount val="6"/>
                <c:pt idx="1">
                  <c:v>1.5540666984053562E-2</c:v>
                </c:pt>
                <c:pt idx="2">
                  <c:v>1.8056987306615625E-2</c:v>
                </c:pt>
                <c:pt idx="3">
                  <c:v>-7.6166400438940629E-3</c:v>
                </c:pt>
                <c:pt idx="4">
                  <c:v>5.7225948714359022E-2</c:v>
                </c:pt>
                <c:pt idx="5">
                  <c:v>-1.155990592429422E-2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B5-4B55-80B2-92D7E116A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3876400"/>
        <c:axId val="1991838864"/>
      </c:barChart>
      <c:catAx>
        <c:axId val="55387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aseline="0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38864"/>
        <c:crosses val="autoZero"/>
        <c:auto val="1"/>
        <c:lblAlgn val="ctr"/>
        <c:lblOffset val="100"/>
        <c:noMultiLvlLbl val="0"/>
      </c:catAx>
      <c:valAx>
        <c:axId val="19918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aseline="0"/>
                  <a:t>Percentage </a:t>
                </a:r>
                <a:r>
                  <a:rPr lang="en-IN" sz="1400" baseline="0"/>
                  <a:t>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7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aseline="0"/>
              <a:t>Trend of CPI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Objective4!$J$71:$M$71</c:f>
              <c:strCache>
                <c:ptCount val="4"/>
                <c:pt idx="0">
                  <c:v>Pre-COVID Avg</c:v>
                </c:pt>
                <c:pt idx="1">
                  <c:v>COVID Onset(Mar-2020)</c:v>
                </c:pt>
                <c:pt idx="2">
                  <c:v>Lockdown Avg</c:v>
                </c:pt>
                <c:pt idx="3">
                  <c:v>Post-Lockdown Avg</c:v>
                </c:pt>
              </c:strCache>
            </c:strRef>
          </c:cat>
          <c:val>
            <c:numRef>
              <c:f>Objective4!$J$72:$M$72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0-4732-87CA-CEE5621E8C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Objective4!$J$71:$M$71</c:f>
              <c:strCache>
                <c:ptCount val="4"/>
                <c:pt idx="0">
                  <c:v>Pre-COVID Avg</c:v>
                </c:pt>
                <c:pt idx="1">
                  <c:v>COVID Onset(Mar-2020)</c:v>
                </c:pt>
                <c:pt idx="2">
                  <c:v>Lockdown Avg</c:v>
                </c:pt>
                <c:pt idx="3">
                  <c:v>Post-Lockdown Avg</c:v>
                </c:pt>
              </c:strCache>
            </c:strRef>
          </c:cat>
          <c:val>
            <c:numRef>
              <c:f>Objective4!$J$73:$M$73</c:f>
              <c:numCache>
                <c:formatCode>0.00%</c:formatCode>
                <c:ptCount val="4"/>
                <c:pt idx="0">
                  <c:v>4.4762980600048824E-2</c:v>
                </c:pt>
                <c:pt idx="1">
                  <c:v>6.2455303933253825E-2</c:v>
                </c:pt>
                <c:pt idx="2">
                  <c:v>6.3767180500716947E-2</c:v>
                </c:pt>
                <c:pt idx="3">
                  <c:v>6.0303647584102386E-2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0-4732-87CA-CEE5621E8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545600"/>
        <c:axId val="743788464"/>
      </c:lineChart>
      <c:catAx>
        <c:axId val="8005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8464"/>
        <c:crossesAt val="0"/>
        <c:auto val="1"/>
        <c:lblAlgn val="ctr"/>
        <c:lblOffset val="100"/>
        <c:noMultiLvlLbl val="0"/>
      </c:catAx>
      <c:valAx>
        <c:axId val="7437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4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502504</xdr:colOff>
      <xdr:row>9</xdr:row>
      <xdr:rowOff>123423</xdr:rowOff>
    </xdr:from>
    <xdr:to>
      <xdr:col>6</xdr:col>
      <xdr:colOff>925285</xdr:colOff>
      <xdr:row>34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18083-9E97-454B-B666-31DCC3923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2</xdr:row>
      <xdr:rowOff>128587</xdr:rowOff>
    </xdr:from>
    <xdr:to>
      <xdr:col>14</xdr:col>
      <xdr:colOff>85725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F143C-0D7D-4F96-9B0F-5D7302959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1437408</xdr:colOff>
      <xdr:row>67</xdr:row>
      <xdr:rowOff>48491</xdr:rowOff>
    </xdr:from>
    <xdr:to>
      <xdr:col>23</xdr:col>
      <xdr:colOff>1281546</xdr:colOff>
      <xdr:row>94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6C78CE-ACEF-48D6-83AF-042F9115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25357</xdr:colOff>
      <xdr:row>79</xdr:row>
      <xdr:rowOff>42307</xdr:rowOff>
    </xdr:from>
    <xdr:to>
      <xdr:col>13</xdr:col>
      <xdr:colOff>1402773</xdr:colOff>
      <xdr:row>98</xdr:row>
      <xdr:rowOff>34637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668E58-42E2-49D8-A170-09A963765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</xdr:colOff>
      <xdr:row>7</xdr:row>
      <xdr:rowOff>76200</xdr:rowOff>
    </xdr:from>
    <xdr:to>
      <xdr:col>17</xdr:col>
      <xdr:colOff>30480</xdr:colOff>
      <xdr:row>7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7770C0E-12C6-42A9-BE49-80A9AFD7123B}"/>
            </a:ext>
          </a:extLst>
        </xdr:cNvPr>
        <xdr:cNvCxnSpPr/>
      </xdr:nvCxnSpPr>
      <xdr:spPr>
        <a:xfrm>
          <a:off x="11241405" y="1209675"/>
          <a:ext cx="13144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7</xdr:row>
      <xdr:rowOff>91440</xdr:rowOff>
    </xdr:from>
    <xdr:to>
      <xdr:col>17</xdr:col>
      <xdr:colOff>38100</xdr:colOff>
      <xdr:row>31</xdr:row>
      <xdr:rowOff>91440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8A5475B-5A19-4368-9E59-1C5C52AD98BC}"/>
            </a:ext>
          </a:extLst>
        </xdr:cNvPr>
        <xdr:cNvCxnSpPr/>
      </xdr:nvCxnSpPr>
      <xdr:spPr>
        <a:xfrm>
          <a:off x="12540615" y="1224915"/>
          <a:ext cx="22860" cy="4410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31</xdr:row>
      <xdr:rowOff>91440</xdr:rowOff>
    </xdr:from>
    <xdr:to>
      <xdr:col>17</xdr:col>
      <xdr:colOff>38100</xdr:colOff>
      <xdr:row>31</xdr:row>
      <xdr:rowOff>91440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A5AD623-B271-4923-82C3-29F3FC66E20B}"/>
            </a:ext>
          </a:extLst>
        </xdr:cNvPr>
        <xdr:cNvCxnSpPr/>
      </xdr:nvCxnSpPr>
      <xdr:spPr>
        <a:xfrm flipH="1">
          <a:off x="11233785" y="5634990"/>
          <a:ext cx="132969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</xdr:colOff>
      <xdr:row>17</xdr:row>
      <xdr:rowOff>160020</xdr:rowOff>
    </xdr:from>
    <xdr:to>
      <xdr:col>18</xdr:col>
      <xdr:colOff>0</xdr:colOff>
      <xdr:row>19</xdr:row>
      <xdr:rowOff>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A5D3B21-1CC4-4BF6-970B-95A8204C4349}"/>
            </a:ext>
          </a:extLst>
        </xdr:cNvPr>
        <xdr:cNvSpPr/>
      </xdr:nvSpPr>
      <xdr:spPr>
        <a:xfrm>
          <a:off x="12548235" y="3141345"/>
          <a:ext cx="310515" cy="2019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42.630660532406" createdVersion="6" refreshedVersion="6" minRefreshableVersion="3" recordCount="372" xr:uid="{00000000-000A-0000-FFFF-FFFF1C000000}">
  <cacheSource type="worksheet">
    <worksheetSource name="Table1"/>
  </cacheSource>
  <cacheFields count="42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64">
      <sharedItems containsSemiMixedTypes="0" containsNonDate="0" containsDate="1" containsString="0" minDate="2013-01-01T00:00:00" maxDate="2023-05-02T00:00:00" count="12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  <cacheField name="Food" numFmtId="0">
      <sharedItems containsSemiMixedTypes="0" containsString="0" containsNumber="1" minValue="105.5153846153846" maxValue="179.62307692307692"/>
    </cacheField>
    <cacheField name="Pan, Tobacco &amp; Intoxicants" numFmtId="0">
      <sharedItems containsSemiMixedTypes="0" containsString="0" containsNumber="1" minValue="105.1" maxValue="204.2"/>
    </cacheField>
    <cacheField name="Clothing &amp; Footwear" numFmtId="0">
      <sharedItems containsSemiMixedTypes="0" containsString="0" containsNumber="1" minValue="105.8" maxValue="190.8"/>
    </cacheField>
    <cacheField name="Housing&amp;Accommodation" numFmtId="0">
      <sharedItems containsSemiMixedTypes="0" containsString="0" containsNumber="1" minValue="100.3" maxValue="175.6"/>
    </cacheField>
    <cacheField name="Fuel &amp; Energy" numFmtId="0">
      <sharedItems containsSemiMixedTypes="0" containsString="0" containsNumber="1" minValue="105.4" maxValue="183.4"/>
    </cacheField>
    <cacheField name="Household&amp;PersonalCare" numFmtId="0">
      <sharedItems containsSemiMixedTypes="0" containsString="0" containsNumber="1" minValue="104.4" maxValue="182.35000000000002"/>
    </cacheField>
    <cacheField name="Healthcare" numFmtId="0">
      <sharedItems containsSemiMixedTypes="0" containsString="0" containsNumber="1" minValue="104" maxValue="187.8"/>
    </cacheField>
    <cacheField name="Transport &amp; Communication" numFmtId="0">
      <sharedItems containsSemiMixedTypes="0" containsString="0" containsNumber="1" minValue="103.2" maxValue="169.7"/>
    </cacheField>
    <cacheField name="Education &amp; Recreation" numFmtId="0">
      <sharedItems containsSemiMixedTypes="0" containsString="0" containsNumber="1" minValue="103.2" maxValue="177.05"/>
    </cacheField>
    <cacheField name="Miscellaneouss" numFmtId="0">
      <sharedItems containsSemiMixedTypes="0" containsString="0" containsNumber="1" minValue="103.7" maxValue="179.5"/>
    </cacheField>
    <cacheField name="Covid Period" numFmtId="0">
      <sharedItems count="4">
        <s v="Pre-COVID"/>
        <s v="COVID Onset"/>
        <s v="Lockdown"/>
        <s v="Post-COV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n v="105.5"/>
    <n v="104.8"/>
    <n v="104"/>
    <n v="103.3"/>
    <n v="103.4"/>
    <n v="103.8"/>
    <n v="104.7"/>
    <n v="104"/>
    <n v="105.1"/>
    <n v="105.5153846153846"/>
    <n v="105.1"/>
    <n v="106.4"/>
    <n v="100.3"/>
    <n v="105.5"/>
    <n v="104.75"/>
    <n v="104"/>
    <n v="103.3"/>
    <n v="103.6"/>
    <n v="104"/>
    <x v="0"/>
  </r>
  <r>
    <x v="1"/>
    <x v="0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05.87692307692308"/>
    <n v="105.2"/>
    <n v="105.8"/>
    <n v="100.3"/>
    <n v="105.4"/>
    <n v="104.55"/>
    <n v="104.1"/>
    <n v="103.2"/>
    <n v="103.2"/>
    <n v="103.7"/>
    <x v="0"/>
  </r>
  <r>
    <x v="2"/>
    <x v="0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05.63846153846156"/>
    <n v="105.1"/>
    <n v="106.2"/>
    <n v="100.3"/>
    <n v="105.5"/>
    <n v="104.65"/>
    <n v="104"/>
    <n v="103.2"/>
    <n v="103.35"/>
    <n v="103.9"/>
    <x v="0"/>
  </r>
  <r>
    <x v="0"/>
    <x v="0"/>
    <x v="1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n v="106.2"/>
    <n v="105.2"/>
    <n v="104.4"/>
    <n v="103.9"/>
    <n v="104"/>
    <n v="104.1"/>
    <n v="104.6"/>
    <n v="104.4"/>
    <n v="105.8"/>
    <n v="106.18461538461537"/>
    <n v="105.6"/>
    <n v="107"/>
    <n v="100.4"/>
    <n v="106.2"/>
    <n v="104.9"/>
    <n v="104.4"/>
    <n v="103.9"/>
    <n v="104.05"/>
    <n v="104.4"/>
    <x v="0"/>
  </r>
  <r>
    <x v="1"/>
    <x v="0"/>
    <x v="1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06.96923076923078"/>
    <n v="106"/>
    <n v="106.4"/>
    <n v="100.4"/>
    <n v="105.7"/>
    <n v="104.75"/>
    <n v="104.7"/>
    <n v="104.4"/>
    <n v="103.5"/>
    <n v="104.3"/>
    <x v="0"/>
  </r>
  <r>
    <x v="2"/>
    <x v="0"/>
    <x v="1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06.47692307692309"/>
    <n v="105.7"/>
    <n v="106.8"/>
    <n v="100.4"/>
    <n v="106"/>
    <n v="104.85"/>
    <n v="104.5"/>
    <n v="104.2"/>
    <n v="103.75"/>
    <n v="104.4"/>
    <x v="0"/>
  </r>
  <r>
    <x v="0"/>
    <x v="0"/>
    <x v="2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n v="106.1"/>
    <n v="105.6"/>
    <n v="104.7"/>
    <n v="104.6"/>
    <n v="104"/>
    <n v="104.3"/>
    <n v="104.3"/>
    <n v="104.6"/>
    <n v="106"/>
    <n v="106.32307692307693"/>
    <n v="106.5"/>
    <n v="107.5"/>
    <n v="100.4"/>
    <n v="106.1"/>
    <n v="104.94999999999999"/>
    <n v="104.7"/>
    <n v="104.6"/>
    <n v="104.15"/>
    <n v="104.6"/>
    <x v="0"/>
  </r>
  <r>
    <x v="1"/>
    <x v="0"/>
    <x v="2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06.67692307692307"/>
    <n v="106.8"/>
    <n v="107"/>
    <n v="100.4"/>
    <n v="106"/>
    <n v="104.95"/>
    <n v="105.2"/>
    <n v="105.5"/>
    <n v="103.65"/>
    <n v="104.9"/>
    <x v="0"/>
  </r>
  <r>
    <x v="2"/>
    <x v="0"/>
    <x v="2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06.46153846153848"/>
    <n v="106.6"/>
    <n v="107.3"/>
    <n v="100.4"/>
    <n v="106.1"/>
    <n v="104.94999999999999"/>
    <n v="104.9"/>
    <n v="105.1"/>
    <n v="103.85"/>
    <n v="104.7"/>
    <x v="0"/>
  </r>
  <r>
    <x v="0"/>
    <x v="0"/>
    <x v="3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n v="106.5"/>
    <n v="106.1"/>
    <n v="105.1"/>
    <n v="104.4"/>
    <n v="104.5"/>
    <n v="104.8"/>
    <n v="102.7"/>
    <n v="104.6"/>
    <n v="106.4"/>
    <n v="106.6"/>
    <n v="107.1"/>
    <n v="108"/>
    <n v="100.5"/>
    <n v="106.5"/>
    <n v="104.4"/>
    <n v="105.1"/>
    <n v="104.4"/>
    <n v="104.65"/>
    <n v="104.6"/>
    <x v="0"/>
  </r>
  <r>
    <x v="1"/>
    <x v="0"/>
    <x v="3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07.5153846153846"/>
    <n v="108.5"/>
    <n v="107.7"/>
    <n v="100.5"/>
    <n v="106.4"/>
    <n v="104.85"/>
    <n v="105.7"/>
    <n v="105"/>
    <n v="104.6"/>
    <n v="105.1"/>
    <x v="0"/>
  </r>
  <r>
    <x v="2"/>
    <x v="0"/>
    <x v="3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06.93846153846154"/>
    <n v="107.5"/>
    <n v="107.9"/>
    <n v="100.5"/>
    <n v="106.5"/>
    <n v="104.6"/>
    <n v="105.3"/>
    <n v="104.7"/>
    <n v="104.6"/>
    <n v="104.8"/>
    <x v="0"/>
  </r>
  <r>
    <x v="0"/>
    <x v="0"/>
    <x v="4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n v="107.5"/>
    <n v="106.8"/>
    <n v="105.7"/>
    <n v="104.1"/>
    <n v="105"/>
    <n v="105.5"/>
    <n v="102.1"/>
    <n v="104.8"/>
    <n v="107.2"/>
    <n v="107.23076923076923"/>
    <n v="108.1"/>
    <n v="108.6"/>
    <n v="100.5"/>
    <n v="107.5"/>
    <n v="104.44999999999999"/>
    <n v="105.7"/>
    <n v="104.1"/>
    <n v="105.25"/>
    <n v="104.8"/>
    <x v="0"/>
  </r>
  <r>
    <x v="1"/>
    <x v="0"/>
    <x v="4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09.0153846153846"/>
    <n v="109.8"/>
    <n v="108.3"/>
    <n v="100.5"/>
    <n v="107.2"/>
    <n v="104.85"/>
    <n v="106.2"/>
    <n v="103.9"/>
    <n v="105.15"/>
    <n v="104.9"/>
    <x v="0"/>
  </r>
  <r>
    <x v="2"/>
    <x v="0"/>
    <x v="4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07.86153846153844"/>
    <n v="108.6"/>
    <n v="108.5"/>
    <n v="100.5"/>
    <n v="107.4"/>
    <n v="104.6"/>
    <n v="105.9"/>
    <n v="104"/>
    <n v="105.19999999999999"/>
    <n v="104.8"/>
    <x v="0"/>
  </r>
  <r>
    <x v="0"/>
    <x v="0"/>
    <x v="5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n v="108.5"/>
    <n v="107.5"/>
    <n v="106.3"/>
    <n v="105"/>
    <n v="105.6"/>
    <n v="106.5"/>
    <n v="102.5"/>
    <n v="105.5"/>
    <n v="108.9"/>
    <n v="109.23076923076923"/>
    <n v="109"/>
    <n v="109.5"/>
    <n v="106.6"/>
    <n v="108.5"/>
    <n v="105"/>
    <n v="106.3"/>
    <n v="105"/>
    <n v="106.05"/>
    <n v="105.5"/>
    <x v="0"/>
  </r>
  <r>
    <x v="1"/>
    <x v="0"/>
    <x v="5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12.66153846153847"/>
    <n v="110.9"/>
    <n v="108.9"/>
    <n v="106.6"/>
    <n v="108"/>
    <n v="105.5"/>
    <n v="106.5"/>
    <n v="105.2"/>
    <n v="106.65"/>
    <n v="106.1"/>
    <x v="0"/>
  </r>
  <r>
    <x v="2"/>
    <x v="0"/>
    <x v="5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10.46153846153847"/>
    <n v="109.5"/>
    <n v="109.3"/>
    <n v="106.6"/>
    <n v="108.3"/>
    <n v="105.19999999999999"/>
    <n v="106.4"/>
    <n v="105.1"/>
    <n v="106.4"/>
    <n v="105.8"/>
    <x v="0"/>
  </r>
  <r>
    <x v="0"/>
    <x v="0"/>
    <x v="6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n v="109.5"/>
    <n v="108.3"/>
    <n v="106.9"/>
    <n v="106.8"/>
    <n v="106.4"/>
    <n v="107.8"/>
    <n v="102.5"/>
    <n v="106.5"/>
    <n v="110.7"/>
    <n v="111.22307692307689"/>
    <n v="109.8"/>
    <n v="110.3"/>
    <n v="107.7"/>
    <n v="109.5"/>
    <n v="105.4"/>
    <n v="106.9"/>
    <n v="106.8"/>
    <n v="107.1"/>
    <n v="106.5"/>
    <x v="0"/>
  </r>
  <r>
    <x v="1"/>
    <x v="0"/>
    <x v="6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14.56923076923077"/>
    <n v="111.7"/>
    <n v="109.5"/>
    <n v="107.7"/>
    <n v="108.6"/>
    <n v="105.65"/>
    <n v="107.1"/>
    <n v="107.3"/>
    <n v="108"/>
    <n v="107.3"/>
    <x v="0"/>
  </r>
  <r>
    <x v="2"/>
    <x v="0"/>
    <x v="6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12.41538461538461"/>
    <n v="110.3"/>
    <n v="110"/>
    <n v="107.7"/>
    <n v="109.2"/>
    <n v="105.5"/>
    <n v="107"/>
    <n v="107.1"/>
    <n v="107.6"/>
    <n v="106.9"/>
    <x v="0"/>
  </r>
  <r>
    <x v="0"/>
    <x v="0"/>
    <x v="7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n v="109.9"/>
    <n v="108.7"/>
    <n v="107.5"/>
    <n v="107.8"/>
    <n v="106.8"/>
    <n v="108.7"/>
    <n v="105"/>
    <n v="107.5"/>
    <n v="112.1"/>
    <n v="112.5"/>
    <n v="110.7"/>
    <n v="111.1"/>
    <n v="108.9"/>
    <n v="109.9"/>
    <n v="106.85"/>
    <n v="107.5"/>
    <n v="107.8"/>
    <n v="107.75"/>
    <n v="107.5"/>
    <x v="0"/>
  </r>
  <r>
    <x v="1"/>
    <x v="0"/>
    <x v="7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15.85384615384616"/>
    <n v="112.4"/>
    <n v="110.2"/>
    <n v="108.9"/>
    <n v="109.3"/>
    <n v="107.35"/>
    <n v="107.6"/>
    <n v="108.1"/>
    <n v="108.65"/>
    <n v="108.3"/>
    <x v="0"/>
  </r>
  <r>
    <x v="2"/>
    <x v="0"/>
    <x v="7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13.64615384615385"/>
    <n v="111.2"/>
    <n v="110.7"/>
    <n v="108.9"/>
    <n v="109.7"/>
    <n v="107.05000000000001"/>
    <n v="107.5"/>
    <n v="108"/>
    <n v="108.25"/>
    <n v="107.9"/>
    <x v="0"/>
  </r>
  <r>
    <x v="0"/>
    <x v="0"/>
    <x v="8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n v="111.1"/>
    <n v="109.6"/>
    <n v="108.3"/>
    <n v="109.3"/>
    <n v="107.7"/>
    <n v="109.8"/>
    <n v="106.7"/>
    <n v="108.7"/>
    <n v="114.2"/>
    <n v="114.50000000000001"/>
    <n v="111.7"/>
    <n v="112.5"/>
    <n v="109.7"/>
    <n v="111.1"/>
    <n v="108.15"/>
    <n v="108.3"/>
    <n v="109.3"/>
    <n v="108.75"/>
    <n v="108.7"/>
    <x v="0"/>
  </r>
  <r>
    <x v="1"/>
    <x v="0"/>
    <x v="8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15.41538461538462"/>
    <n v="112.9"/>
    <n v="111.1"/>
    <n v="109.7"/>
    <n v="109.5"/>
    <n v="108.25"/>
    <n v="107.9"/>
    <n v="110.4"/>
    <n v="109.30000000000001"/>
    <n v="109.4"/>
    <x v="0"/>
  </r>
  <r>
    <x v="2"/>
    <x v="0"/>
    <x v="8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14.74615384615383"/>
    <n v="112"/>
    <n v="111.9"/>
    <n v="109.7"/>
    <n v="110.5"/>
    <n v="108.19999999999999"/>
    <n v="108.1"/>
    <n v="109.9"/>
    <n v="109.05"/>
    <n v="109"/>
    <x v="0"/>
  </r>
  <r>
    <x v="0"/>
    <x v="0"/>
    <x v="9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n v="111.6"/>
    <n v="110.4"/>
    <n v="108.9"/>
    <n v="109.3"/>
    <n v="108.3"/>
    <n v="110.2"/>
    <n v="107.5"/>
    <n v="109.1"/>
    <n v="115.5"/>
    <n v="116"/>
    <n v="112.2"/>
    <n v="113.4"/>
    <n v="110.5"/>
    <n v="111.6"/>
    <n v="108.95"/>
    <n v="108.9"/>
    <n v="109.3"/>
    <n v="109.25"/>
    <n v="109.1"/>
    <x v="0"/>
  </r>
  <r>
    <x v="1"/>
    <x v="0"/>
    <x v="9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16.7076923076923"/>
    <n v="113.5"/>
    <n v="112"/>
    <n v="110.5"/>
    <n v="109.7"/>
    <n v="108.75"/>
    <n v="108.2"/>
    <n v="109.7"/>
    <n v="109.65"/>
    <n v="109.4"/>
    <x v="0"/>
  </r>
  <r>
    <x v="2"/>
    <x v="0"/>
    <x v="9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16.16923076923079"/>
    <n v="112.5"/>
    <n v="112.8"/>
    <n v="110.5"/>
    <n v="110.9"/>
    <n v="108.85"/>
    <n v="108.6"/>
    <n v="109.5"/>
    <n v="109.44999999999999"/>
    <n v="109.2"/>
    <x v="0"/>
  </r>
  <r>
    <x v="0"/>
    <x v="0"/>
    <x v="1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n v="112.6"/>
    <n v="111.3"/>
    <n v="109.7"/>
    <n v="109.6"/>
    <n v="108.7"/>
    <n v="111"/>
    <n v="108.2"/>
    <n v="109.8"/>
    <n v="117.4"/>
    <n v="118.21538461538461"/>
    <n v="112.8"/>
    <n v="114.4"/>
    <n v="111.1"/>
    <n v="112.6"/>
    <n v="109.75"/>
    <n v="109.7"/>
    <n v="109.6"/>
    <n v="109.85"/>
    <n v="109.8"/>
    <x v="0"/>
  </r>
  <r>
    <x v="1"/>
    <x v="0"/>
    <x v="1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18.8153846153846"/>
    <n v="114.1"/>
    <n v="113"/>
    <n v="111.1"/>
    <n v="110"/>
    <n v="109.4"/>
    <n v="108.6"/>
    <n v="109.5"/>
    <n v="109.9"/>
    <n v="109.6"/>
    <x v="0"/>
  </r>
  <r>
    <x v="2"/>
    <x v="0"/>
    <x v="1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18.36923076923077"/>
    <n v="113.1"/>
    <n v="113.8"/>
    <n v="111.1"/>
    <n v="111.6"/>
    <n v="109.6"/>
    <n v="109.3"/>
    <n v="109.5"/>
    <n v="109.9"/>
    <n v="109.7"/>
    <x v="0"/>
  </r>
  <r>
    <x v="0"/>
    <x v="0"/>
    <x v="11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n v="112.8"/>
    <n v="112.1"/>
    <n v="110.1"/>
    <n v="109.9"/>
    <n v="109.2"/>
    <n v="111.6"/>
    <n v="108.1"/>
    <n v="110.1"/>
    <n v="115.5"/>
    <n v="116.07692307692308"/>
    <n v="113.6"/>
    <n v="115.5"/>
    <n v="110.7"/>
    <n v="112.8"/>
    <n v="110.1"/>
    <n v="110.1"/>
    <n v="109.9"/>
    <n v="110.4"/>
    <n v="110.1"/>
    <x v="0"/>
  </r>
  <r>
    <x v="1"/>
    <x v="0"/>
    <x v="11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15.72307692307693"/>
    <n v="115"/>
    <n v="113.7"/>
    <n v="110.7"/>
    <n v="110.4"/>
    <n v="109.5"/>
    <n v="109"/>
    <n v="109.7"/>
    <n v="110.15"/>
    <n v="109.8"/>
    <x v="0"/>
  </r>
  <r>
    <x v="2"/>
    <x v="0"/>
    <x v="11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15.94615384615386"/>
    <n v="114"/>
    <n v="114.8"/>
    <n v="110.7"/>
    <n v="111.9"/>
    <n v="109.80000000000001"/>
    <n v="109.7"/>
    <n v="109.8"/>
    <n v="110.25"/>
    <n v="110"/>
    <x v="0"/>
  </r>
  <r>
    <x v="0"/>
    <x v="1"/>
    <x v="0"/>
    <x v="12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n v="113"/>
    <n v="112.6"/>
    <n v="110.6"/>
    <n v="110.5"/>
    <n v="109.6"/>
    <n v="111.8"/>
    <n v="108.3"/>
    <n v="110.6"/>
    <n v="114.2"/>
    <n v="114.35384615384616"/>
    <n v="114"/>
    <n v="116.2"/>
    <n v="111.6"/>
    <n v="113"/>
    <n v="110.44999999999999"/>
    <n v="110.6"/>
    <n v="110.5"/>
    <n v="110.69999999999999"/>
    <n v="110.6"/>
    <x v="0"/>
  </r>
  <r>
    <x v="1"/>
    <x v="1"/>
    <x v="0"/>
    <x v="12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14.17692307692307"/>
    <n v="115.7"/>
    <n v="114.3"/>
    <n v="111.6"/>
    <n v="111"/>
    <n v="109.95"/>
    <n v="109.7"/>
    <n v="110.8"/>
    <n v="110.65"/>
    <n v="110.5"/>
    <x v="0"/>
  </r>
  <r>
    <x v="2"/>
    <x v="1"/>
    <x v="0"/>
    <x v="12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14.29230769230767"/>
    <n v="114.5"/>
    <n v="115.4"/>
    <n v="111.6"/>
    <n v="112.2"/>
    <n v="110.25"/>
    <n v="110.3"/>
    <n v="110.7"/>
    <n v="110.65"/>
    <n v="110.6"/>
    <x v="0"/>
  </r>
  <r>
    <x v="0"/>
    <x v="1"/>
    <x v="1"/>
    <x v="13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n v="113.2"/>
    <n v="112.9"/>
    <n v="110.9"/>
    <n v="110.8"/>
    <n v="109.9"/>
    <n v="112"/>
    <n v="108.7"/>
    <n v="110.9"/>
    <n v="114"/>
    <n v="114.01538461538462"/>
    <n v="114.2"/>
    <n v="116.7"/>
    <n v="112.5"/>
    <n v="113.2"/>
    <n v="110.80000000000001"/>
    <n v="110.9"/>
    <n v="110.8"/>
    <n v="110.95"/>
    <n v="110.9"/>
    <x v="0"/>
  </r>
  <r>
    <x v="1"/>
    <x v="1"/>
    <x v="1"/>
    <x v="13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13.53846153846153"/>
    <n v="116.2"/>
    <n v="114.7"/>
    <n v="112.5"/>
    <n v="111.1"/>
    <n v="110.65"/>
    <n v="110.4"/>
    <n v="111.3"/>
    <n v="110.94999999999999"/>
    <n v="111"/>
    <x v="0"/>
  </r>
  <r>
    <x v="2"/>
    <x v="1"/>
    <x v="1"/>
    <x v="13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13.85384615384615"/>
    <n v="114.7"/>
    <n v="115.9"/>
    <n v="112.5"/>
    <n v="112.4"/>
    <n v="110.75"/>
    <n v="110.7"/>
    <n v="111.1"/>
    <n v="110.94999999999999"/>
    <n v="110.9"/>
    <x v="0"/>
  </r>
  <r>
    <x v="0"/>
    <x v="1"/>
    <x v="2"/>
    <x v="14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n v="113.4"/>
    <n v="113.4"/>
    <n v="111.4"/>
    <n v="111.2"/>
    <n v="110.2"/>
    <n v="112.4"/>
    <n v="108.9"/>
    <n v="111.3"/>
    <n v="114.6"/>
    <n v="114.72307692307693"/>
    <n v="114.6"/>
    <n v="117.2"/>
    <n v="113.2"/>
    <n v="113.4"/>
    <n v="111.15"/>
    <n v="111.4"/>
    <n v="111.2"/>
    <n v="111.30000000000001"/>
    <n v="111.3"/>
    <x v="0"/>
  </r>
  <r>
    <x v="1"/>
    <x v="1"/>
    <x v="2"/>
    <x v="14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14.07692307692308"/>
    <n v="116.7"/>
    <n v="115.2"/>
    <n v="113.2"/>
    <n v="110.9"/>
    <n v="111.1"/>
    <n v="110.8"/>
    <n v="111.6"/>
    <n v="111.35"/>
    <n v="111.4"/>
    <x v="0"/>
  </r>
  <r>
    <x v="2"/>
    <x v="1"/>
    <x v="2"/>
    <x v="14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14.48461538461537"/>
    <n v="115.2"/>
    <n v="116.4"/>
    <n v="113.2"/>
    <n v="112.5"/>
    <n v="111.1"/>
    <n v="111.2"/>
    <n v="111.4"/>
    <n v="111.3"/>
    <n v="111.3"/>
    <x v="0"/>
  </r>
  <r>
    <x v="0"/>
    <x v="1"/>
    <x v="3"/>
    <x v="15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n v="113.4"/>
    <n v="113.7"/>
    <n v="111.8"/>
    <n v="111.2"/>
    <n v="110.5"/>
    <n v="113"/>
    <n v="108.9"/>
    <n v="111.5"/>
    <n v="115.4"/>
    <n v="115.70000000000002"/>
    <n v="115.4"/>
    <n v="117.8"/>
    <n v="113.9"/>
    <n v="113.4"/>
    <n v="111.30000000000001"/>
    <n v="111.8"/>
    <n v="111.2"/>
    <n v="111.75"/>
    <n v="111.5"/>
    <x v="0"/>
  </r>
  <r>
    <x v="1"/>
    <x v="1"/>
    <x v="3"/>
    <x v="15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15.69230769230771"/>
    <n v="117.6"/>
    <n v="115.7"/>
    <n v="113.9"/>
    <n v="110.9"/>
    <n v="111.25"/>
    <n v="111"/>
    <n v="111.2"/>
    <n v="111.85"/>
    <n v="111.4"/>
    <x v="0"/>
  </r>
  <r>
    <x v="2"/>
    <x v="1"/>
    <x v="3"/>
    <x v="15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15.69999999999999"/>
    <n v="116"/>
    <n v="117"/>
    <n v="113.9"/>
    <n v="112.5"/>
    <n v="111.3"/>
    <n v="111.5"/>
    <n v="111.2"/>
    <n v="111.80000000000001"/>
    <n v="111.5"/>
    <x v="0"/>
  </r>
  <r>
    <x v="0"/>
    <x v="1"/>
    <x v="4"/>
    <x v="16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n v="113.4"/>
    <n v="114.1"/>
    <n v="112.1"/>
    <n v="111.4"/>
    <n v="110.9"/>
    <n v="113.1"/>
    <n v="108.9"/>
    <n v="111.8"/>
    <n v="116"/>
    <n v="116.45384615384614"/>
    <n v="116.3"/>
    <n v="118.5"/>
    <n v="114.3"/>
    <n v="113.4"/>
    <n v="111.5"/>
    <n v="112.1"/>
    <n v="111.4"/>
    <n v="112"/>
    <n v="111.8"/>
    <x v="0"/>
  </r>
  <r>
    <x v="1"/>
    <x v="1"/>
    <x v="4"/>
    <x v="16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17.33076923076925"/>
    <n v="118.3"/>
    <n v="116.2"/>
    <n v="114.3"/>
    <n v="111.1"/>
    <n v="111.69999999999999"/>
    <n v="111.2"/>
    <n v="111.3"/>
    <n v="112.2"/>
    <n v="111.7"/>
    <x v="0"/>
  </r>
  <r>
    <x v="2"/>
    <x v="1"/>
    <x v="4"/>
    <x v="16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16.80769230769235"/>
    <n v="116.8"/>
    <n v="117.6"/>
    <n v="114.3"/>
    <n v="112.5"/>
    <n v="111.6"/>
    <n v="111.8"/>
    <n v="111.3"/>
    <n v="112.1"/>
    <n v="111.8"/>
    <x v="0"/>
  </r>
  <r>
    <x v="0"/>
    <x v="1"/>
    <x v="5"/>
    <x v="17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n v="114.4"/>
    <n v="114.9"/>
    <n v="112.8"/>
    <n v="112.2"/>
    <n v="111.4"/>
    <n v="114.3"/>
    <n v="108"/>
    <n v="112.3"/>
    <n v="117"/>
    <n v="117.36153846153844"/>
    <n v="117.3"/>
    <n v="119.3"/>
    <n v="113.9"/>
    <n v="114.4"/>
    <n v="111.45"/>
    <n v="112.8"/>
    <n v="112.2"/>
    <n v="112.85"/>
    <n v="112.3"/>
    <x v="0"/>
  </r>
  <r>
    <x v="1"/>
    <x v="1"/>
    <x v="5"/>
    <x v="17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19"/>
    <n v="119"/>
    <n v="116.7"/>
    <n v="113.9"/>
    <n v="111.2"/>
    <n v="111.5"/>
    <n v="111.4"/>
    <n v="111.5"/>
    <n v="113.44999999999999"/>
    <n v="112.2"/>
    <x v="0"/>
  </r>
  <r>
    <x v="2"/>
    <x v="1"/>
    <x v="5"/>
    <x v="17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17.9769230769231"/>
    <n v="117.8"/>
    <n v="118.3"/>
    <n v="113.9"/>
    <n v="113.2"/>
    <n v="111.44999999999999"/>
    <n v="112.3"/>
    <n v="111.8"/>
    <n v="113.19999999999999"/>
    <n v="112.3"/>
    <x v="0"/>
  </r>
  <r>
    <x v="0"/>
    <x v="1"/>
    <x v="6"/>
    <x v="18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n v="115.3"/>
    <n v="115.4"/>
    <n v="113.4"/>
    <n v="113.2"/>
    <n v="111.8"/>
    <n v="115.5"/>
    <n v="108.8"/>
    <n v="113.1"/>
    <n v="119.5"/>
    <n v="120.24615384615385"/>
    <n v="118"/>
    <n v="120.3"/>
    <n v="114.8"/>
    <n v="115.3"/>
    <n v="112.1"/>
    <n v="113.4"/>
    <n v="113.2"/>
    <n v="113.65"/>
    <n v="113.1"/>
    <x v="0"/>
  </r>
  <r>
    <x v="1"/>
    <x v="1"/>
    <x v="6"/>
    <x v="18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23.03846153846153"/>
    <n v="121"/>
    <n v="117.4"/>
    <n v="114.8"/>
    <n v="111.6"/>
    <n v="112.30000000000001"/>
    <n v="111.5"/>
    <n v="113"/>
    <n v="115.1"/>
    <n v="113.5"/>
    <x v="0"/>
  </r>
  <r>
    <x v="2"/>
    <x v="1"/>
    <x v="6"/>
    <x v="18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21.25384615384615"/>
    <n v="118.8"/>
    <n v="119.1"/>
    <n v="114.8"/>
    <n v="113.9"/>
    <n v="112.2"/>
    <n v="112.7"/>
    <n v="113.1"/>
    <n v="114.44999999999999"/>
    <n v="113.3"/>
    <x v="0"/>
  </r>
  <r>
    <x v="0"/>
    <x v="1"/>
    <x v="7"/>
    <x v="19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n v="115.4"/>
    <n v="115.9"/>
    <n v="114"/>
    <n v="113.2"/>
    <n v="112.2"/>
    <n v="116.2"/>
    <n v="109.4"/>
    <n v="113.5"/>
    <n v="120.7"/>
    <n v="121.71538461538459"/>
    <n v="118.8"/>
    <n v="120.7"/>
    <n v="115.5"/>
    <n v="115.4"/>
    <n v="112.65"/>
    <n v="114"/>
    <n v="113.2"/>
    <n v="114.2"/>
    <n v="113.5"/>
    <x v="0"/>
  </r>
  <r>
    <x v="1"/>
    <x v="1"/>
    <x v="7"/>
    <x v="19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24.38461538461539"/>
    <n v="123"/>
    <n v="117.9"/>
    <n v="115.5"/>
    <n v="111.8"/>
    <n v="112.9"/>
    <n v="112.2"/>
    <n v="112.5"/>
    <n v="116.05000000000001"/>
    <n v="113.9"/>
    <x v="0"/>
  </r>
  <r>
    <x v="2"/>
    <x v="1"/>
    <x v="7"/>
    <x v="19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22.65384615384613"/>
    <n v="119.9"/>
    <n v="119.6"/>
    <n v="115.5"/>
    <n v="114"/>
    <n v="112.75"/>
    <n v="113.3"/>
    <n v="112.8"/>
    <n v="115.3"/>
    <n v="113.7"/>
    <x v="0"/>
  </r>
  <r>
    <x v="0"/>
    <x v="1"/>
    <x v="8"/>
    <x v="20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n v="115.8"/>
    <n v="116.7"/>
    <n v="114.5"/>
    <n v="112.8"/>
    <n v="112.6"/>
    <n v="116.6"/>
    <n v="109.1"/>
    <n v="113.7"/>
    <n v="120.9"/>
    <n v="121.78461538461539"/>
    <n v="119.5"/>
    <n v="121.3"/>
    <n v="116.1"/>
    <n v="115.8"/>
    <n v="112.9"/>
    <n v="114.5"/>
    <n v="112.8"/>
    <n v="114.6"/>
    <n v="113.7"/>
    <x v="0"/>
  </r>
  <r>
    <x v="1"/>
    <x v="1"/>
    <x v="8"/>
    <x v="20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22.59230769230771"/>
    <n v="124.3"/>
    <n v="118.4"/>
    <n v="116.1"/>
    <n v="111.8"/>
    <n v="112.75"/>
    <n v="112.3"/>
    <n v="111.2"/>
    <n v="116.7"/>
    <n v="113.6"/>
    <x v="0"/>
  </r>
  <r>
    <x v="2"/>
    <x v="1"/>
    <x v="8"/>
    <x v="20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22.00769230769228"/>
    <n v="120.8"/>
    <n v="120.1"/>
    <n v="116.1"/>
    <n v="114.3"/>
    <n v="112.8"/>
    <n v="113.7"/>
    <n v="112"/>
    <n v="115.85"/>
    <n v="113.7"/>
    <x v="0"/>
  </r>
  <r>
    <x v="0"/>
    <x v="1"/>
    <x v="9"/>
    <x v="21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n v="116.4"/>
    <n v="117.5"/>
    <n v="115.3"/>
    <n v="112.6"/>
    <n v="113"/>
    <n v="116.9"/>
    <n v="109.3"/>
    <n v="114"/>
    <n v="121"/>
    <n v="121.63076923076922"/>
    <n v="120"/>
    <n v="122.3"/>
    <n v="116.7"/>
    <n v="116.4"/>
    <n v="113.4"/>
    <n v="115.3"/>
    <n v="112.6"/>
    <n v="114.95"/>
    <n v="114"/>
    <x v="0"/>
  </r>
  <r>
    <x v="1"/>
    <x v="1"/>
    <x v="9"/>
    <x v="21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22.11538461538461"/>
    <n v="124.3"/>
    <n v="118.9"/>
    <n v="116.7"/>
    <n v="112"/>
    <n v="112.94999999999999"/>
    <n v="112.6"/>
    <n v="111"/>
    <n v="116.9"/>
    <n v="113.7"/>
    <x v="0"/>
  </r>
  <r>
    <x v="2"/>
    <x v="1"/>
    <x v="9"/>
    <x v="21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21.74615384615385"/>
    <n v="121.1"/>
    <n v="121"/>
    <n v="116.7"/>
    <n v="114.7"/>
    <n v="113.15"/>
    <n v="114.3"/>
    <n v="111.8"/>
    <n v="116.05"/>
    <n v="113.9"/>
    <x v="0"/>
  </r>
  <r>
    <x v="0"/>
    <x v="1"/>
    <x v="10"/>
    <x v="22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n v="117.3"/>
    <n v="118.1"/>
    <n v="115.9"/>
    <n v="112"/>
    <n v="113.3"/>
    <n v="117.2"/>
    <n v="108.8"/>
    <n v="114.1"/>
    <n v="121.1"/>
    <n v="121.69230769230769"/>
    <n v="120.8"/>
    <n v="122.9"/>
    <n v="117.1"/>
    <n v="117.3"/>
    <n v="113.44999999999999"/>
    <n v="115.9"/>
    <n v="112"/>
    <n v="115.25"/>
    <n v="114.1"/>
    <x v="0"/>
  </r>
  <r>
    <x v="1"/>
    <x v="1"/>
    <x v="10"/>
    <x v="22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22.13846153846154"/>
    <n v="125.8"/>
    <n v="119.5"/>
    <n v="117.1"/>
    <n v="112.6"/>
    <n v="113"/>
    <n v="113"/>
    <n v="109.7"/>
    <n v="117.15"/>
    <n v="113.4"/>
    <x v="0"/>
  </r>
  <r>
    <x v="2"/>
    <x v="1"/>
    <x v="10"/>
    <x v="22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21.78461538461539"/>
    <n v="122.1"/>
    <n v="121.6"/>
    <n v="117.1"/>
    <n v="115.5"/>
    <n v="113.19999999999999"/>
    <n v="114.8"/>
    <n v="110.8"/>
    <n v="116.35"/>
    <n v="113.8"/>
    <x v="0"/>
  </r>
  <r>
    <x v="0"/>
    <x v="1"/>
    <x v="11"/>
    <x v="23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n v="117.4"/>
    <n v="118.2"/>
    <n v="116.2"/>
    <n v="111.5"/>
    <n v="113.3"/>
    <n v="117.7"/>
    <n v="109.4"/>
    <n v="114.2"/>
    <n v="120.3"/>
    <n v="120.73846153846154"/>
    <n v="121.7"/>
    <n v="123.3"/>
    <n v="116.5"/>
    <n v="117.4"/>
    <n v="113.80000000000001"/>
    <n v="116.2"/>
    <n v="111.5"/>
    <n v="115.5"/>
    <n v="114.2"/>
    <x v="0"/>
  </r>
  <r>
    <x v="1"/>
    <x v="1"/>
    <x v="11"/>
    <x v="23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21.32307692307691"/>
    <n v="126.4"/>
    <n v="120"/>
    <n v="116.5"/>
    <n v="113"/>
    <n v="113.6"/>
    <n v="113.2"/>
    <n v="108.8"/>
    <n v="117.5"/>
    <n v="113.4"/>
    <x v="0"/>
  </r>
  <r>
    <x v="2"/>
    <x v="1"/>
    <x v="11"/>
    <x v="23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20.89999999999999"/>
    <n v="123"/>
    <n v="122"/>
    <n v="116.5"/>
    <n v="115.7"/>
    <n v="113.65"/>
    <n v="115.1"/>
    <n v="110.1"/>
    <n v="116.7"/>
    <n v="113.8"/>
    <x v="0"/>
  </r>
  <r>
    <x v="0"/>
    <x v="2"/>
    <x v="0"/>
    <x v="24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n v="118.4"/>
    <n v="118.9"/>
    <n v="116.6"/>
    <n v="111"/>
    <n v="114"/>
    <n v="118.2"/>
    <n v="110.2"/>
    <n v="114.5"/>
    <n v="120.3"/>
    <n v="120.62307692307692"/>
    <n v="122.7"/>
    <n v="124"/>
    <n v="117.3"/>
    <n v="118.4"/>
    <n v="114.55000000000001"/>
    <n v="116.6"/>
    <n v="111"/>
    <n v="116.1"/>
    <n v="114.5"/>
    <x v="0"/>
  </r>
  <r>
    <x v="1"/>
    <x v="2"/>
    <x v="0"/>
    <x v="24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21.14615384615384"/>
    <n v="127.4"/>
    <n v="120.2"/>
    <n v="117.3"/>
    <n v="113.4"/>
    <n v="114.30000000000001"/>
    <n v="113.7"/>
    <n v="107.9"/>
    <n v="117.69999999999999"/>
    <n v="113.4"/>
    <x v="0"/>
  </r>
  <r>
    <x v="2"/>
    <x v="2"/>
    <x v="0"/>
    <x v="24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20.71538461538461"/>
    <n v="124"/>
    <n v="122.5"/>
    <n v="117.3"/>
    <n v="116.5"/>
    <n v="114.4"/>
    <n v="115.5"/>
    <n v="109.4"/>
    <n v="117"/>
    <n v="114"/>
    <x v="0"/>
  </r>
  <r>
    <x v="0"/>
    <x v="2"/>
    <x v="1"/>
    <x v="25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n v="120"/>
    <n v="119.6"/>
    <n v="117.7"/>
    <n v="110.9"/>
    <n v="114.8"/>
    <n v="118.7"/>
    <n v="110.8"/>
    <n v="115"/>
    <n v="120.6"/>
    <n v="120.81538461538459"/>
    <n v="124.2"/>
    <n v="125"/>
    <n v="118.1"/>
    <n v="120"/>
    <n v="115.19999999999999"/>
    <n v="117.7"/>
    <n v="110.9"/>
    <n v="116.75"/>
    <n v="115"/>
    <x v="0"/>
  </r>
  <r>
    <x v="1"/>
    <x v="2"/>
    <x v="1"/>
    <x v="25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20.85384615384616"/>
    <n v="128.1"/>
    <n v="120.6"/>
    <n v="118.1"/>
    <n v="114"/>
    <n v="114.7"/>
    <n v="114.1"/>
    <n v="106.8"/>
    <n v="117.65"/>
    <n v="113.2"/>
    <x v="0"/>
  </r>
  <r>
    <x v="2"/>
    <x v="2"/>
    <x v="1"/>
    <x v="25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20.72307692307689"/>
    <n v="125.2"/>
    <n v="123.3"/>
    <n v="118.1"/>
    <n v="117.7"/>
    <n v="114.95"/>
    <n v="116.3"/>
    <n v="108.7"/>
    <n v="117.30000000000001"/>
    <n v="114.1"/>
    <x v="0"/>
  </r>
  <r>
    <x v="0"/>
    <x v="2"/>
    <x v="2"/>
    <x v="26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n v="120.6"/>
    <n v="120.2"/>
    <n v="118.2"/>
    <n v="111.6"/>
    <n v="115.5"/>
    <n v="119.4"/>
    <n v="110.8"/>
    <n v="115.5"/>
    <n v="121.1"/>
    <n v="120.88461538461539"/>
    <n v="124.7"/>
    <n v="125.5"/>
    <n v="118.6"/>
    <n v="120.6"/>
    <n v="115.5"/>
    <n v="118.2"/>
    <n v="111.6"/>
    <n v="117.45"/>
    <n v="115.5"/>
    <x v="0"/>
  </r>
  <r>
    <x v="1"/>
    <x v="2"/>
    <x v="2"/>
    <x v="26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20.61538461538463"/>
    <n v="128.80000000000001"/>
    <n v="120.9"/>
    <n v="118.6"/>
    <n v="114.4"/>
    <n v="114.65"/>
    <n v="114.3"/>
    <n v="108.4"/>
    <n v="118"/>
    <n v="113.8"/>
    <x v="0"/>
  </r>
  <r>
    <x v="2"/>
    <x v="2"/>
    <x v="2"/>
    <x v="26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20.69999999999999"/>
    <n v="125.8"/>
    <n v="123.7"/>
    <n v="118.6"/>
    <n v="118.3"/>
    <n v="115.1"/>
    <n v="116.7"/>
    <n v="109.9"/>
    <n v="117.75"/>
    <n v="114.7"/>
    <x v="0"/>
  </r>
  <r>
    <x v="0"/>
    <x v="2"/>
    <x v="3"/>
    <x v="27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n v="121.2"/>
    <n v="120.9"/>
    <n v="118.6"/>
    <n v="111.9"/>
    <n v="116.2"/>
    <n v="119.9"/>
    <n v="111.6"/>
    <n v="116"/>
    <n v="121.5"/>
    <n v="121.32307692307693"/>
    <n v="125.7"/>
    <n v="126"/>
    <n v="119.2"/>
    <n v="121.2"/>
    <n v="116.25"/>
    <n v="118.6"/>
    <n v="111.9"/>
    <n v="118.05000000000001"/>
    <n v="116"/>
    <x v="0"/>
  </r>
  <r>
    <x v="1"/>
    <x v="2"/>
    <x v="3"/>
    <x v="27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21.23846153846154"/>
    <n v="130.1"/>
    <n v="121.3"/>
    <n v="119.2"/>
    <n v="114.7"/>
    <n v="115.1"/>
    <n v="114.6"/>
    <n v="108.4"/>
    <n v="118.65"/>
    <n v="114.2"/>
    <x v="0"/>
  </r>
  <r>
    <x v="2"/>
    <x v="2"/>
    <x v="3"/>
    <x v="27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21.20769230769231"/>
    <n v="126.9"/>
    <n v="124.1"/>
    <n v="119.2"/>
    <n v="118.7"/>
    <n v="115.7"/>
    <n v="117.1"/>
    <n v="110.1"/>
    <n v="118.45"/>
    <n v="115.1"/>
    <x v="0"/>
  </r>
  <r>
    <x v="0"/>
    <x v="2"/>
    <x v="4"/>
    <x v="28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n v="121.9"/>
    <n v="121.5"/>
    <n v="119.4"/>
    <n v="113.3"/>
    <n v="116.7"/>
    <n v="120.5"/>
    <n v="112.3"/>
    <n v="116.9"/>
    <n v="122.4"/>
    <n v="122.13076923076923"/>
    <n v="126.7"/>
    <n v="126.8"/>
    <n v="119.6"/>
    <n v="121.9"/>
    <n v="116.9"/>
    <n v="119.4"/>
    <n v="113.3"/>
    <n v="118.6"/>
    <n v="116.9"/>
    <x v="0"/>
  </r>
  <r>
    <x v="1"/>
    <x v="2"/>
    <x v="4"/>
    <x v="28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22.9923076923077"/>
    <n v="131.30000000000001"/>
    <n v="121.6"/>
    <n v="119.6"/>
    <n v="114.9"/>
    <n v="115.55000000000001"/>
    <n v="114.9"/>
    <n v="110.8"/>
    <n v="119"/>
    <n v="115.2"/>
    <x v="0"/>
  </r>
  <r>
    <x v="2"/>
    <x v="2"/>
    <x v="4"/>
    <x v="28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22.33846153846154"/>
    <n v="127.9"/>
    <n v="124.7"/>
    <n v="119.6"/>
    <n v="119.2"/>
    <n v="116.25"/>
    <n v="117.7"/>
    <n v="112"/>
    <n v="118.85"/>
    <n v="116.1"/>
    <x v="0"/>
  </r>
  <r>
    <x v="0"/>
    <x v="2"/>
    <x v="5"/>
    <x v="2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n v="122.6"/>
    <n v="122.8"/>
    <n v="120.4"/>
    <n v="114.2"/>
    <n v="117.9"/>
    <n v="122"/>
    <n v="113"/>
    <n v="117.9"/>
    <n v="124.1"/>
    <n v="124.45384615384614"/>
    <n v="128.19999999999999"/>
    <n v="128"/>
    <n v="119"/>
    <n v="122.6"/>
    <n v="117.9"/>
    <n v="120.4"/>
    <n v="114.2"/>
    <n v="119.95"/>
    <n v="117.9"/>
    <x v="0"/>
  </r>
  <r>
    <x v="1"/>
    <x v="2"/>
    <x v="5"/>
    <x v="29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25.89230769230768"/>
    <n v="132.1"/>
    <n v="122.3"/>
    <n v="119"/>
    <n v="115.1"/>
    <n v="115.85"/>
    <n v="115.4"/>
    <n v="111.7"/>
    <n v="120"/>
    <n v="116"/>
    <x v="0"/>
  </r>
  <r>
    <x v="2"/>
    <x v="2"/>
    <x v="5"/>
    <x v="29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24.88461538461539"/>
    <n v="129.19999999999999"/>
    <n v="125.7"/>
    <n v="119"/>
    <n v="119.8"/>
    <n v="116.94999999999999"/>
    <n v="118.5"/>
    <n v="112.9"/>
    <n v="120"/>
    <n v="117"/>
    <x v="0"/>
  </r>
  <r>
    <x v="0"/>
    <x v="2"/>
    <x v="6"/>
    <x v="30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n v="123"/>
    <n v="123"/>
    <n v="120.8"/>
    <n v="114.1"/>
    <n v="118"/>
    <n v="122.9"/>
    <n v="112.7"/>
    <n v="118.1"/>
    <n v="124.7"/>
    <n v="125.02307692307691"/>
    <n v="129.4"/>
    <n v="128.30000000000001"/>
    <n v="119.9"/>
    <n v="123"/>
    <n v="117.85"/>
    <n v="120.8"/>
    <n v="114.1"/>
    <n v="120.45"/>
    <n v="118.1"/>
    <x v="0"/>
  </r>
  <r>
    <x v="1"/>
    <x v="2"/>
    <x v="6"/>
    <x v="30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26.37692307692306"/>
    <n v="133.1"/>
    <n v="122.7"/>
    <n v="119.9"/>
    <n v="115.3"/>
    <n v="115.6"/>
    <n v="116"/>
    <n v="111.5"/>
    <n v="121"/>
    <n v="116.3"/>
    <x v="0"/>
  </r>
  <r>
    <x v="2"/>
    <x v="2"/>
    <x v="6"/>
    <x v="30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25.43076923076924"/>
    <n v="130.4"/>
    <n v="126.1"/>
    <n v="119.9"/>
    <n v="120.1"/>
    <n v="116.8"/>
    <n v="119"/>
    <n v="112.7"/>
    <n v="120.80000000000001"/>
    <n v="117.2"/>
    <x v="0"/>
  </r>
  <r>
    <x v="0"/>
    <x v="2"/>
    <x v="7"/>
    <x v="31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n v="123.8"/>
    <n v="123.7"/>
    <n v="121.1"/>
    <n v="113.6"/>
    <n v="118.5"/>
    <n v="123.6"/>
    <n v="112.5"/>
    <n v="118.2"/>
    <n v="126.1"/>
    <n v="126.66153846153846"/>
    <n v="130.1"/>
    <n v="129"/>
    <n v="120.9"/>
    <n v="123.8"/>
    <n v="118.1"/>
    <n v="121.1"/>
    <n v="113.6"/>
    <n v="121.05"/>
    <n v="118.2"/>
    <x v="0"/>
  </r>
  <r>
    <x v="1"/>
    <x v="2"/>
    <x v="7"/>
    <x v="31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27.6076923076923"/>
    <n v="134.19999999999999"/>
    <n v="122.9"/>
    <n v="120.9"/>
    <n v="115.3"/>
    <n v="116"/>
    <n v="116.6"/>
    <n v="109.9"/>
    <n v="121.7"/>
    <n v="116.2"/>
    <x v="0"/>
  </r>
  <r>
    <x v="2"/>
    <x v="2"/>
    <x v="7"/>
    <x v="31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26.89230769230768"/>
    <n v="131.19999999999999"/>
    <n v="126.6"/>
    <n v="120.9"/>
    <n v="120.6"/>
    <n v="117.15"/>
    <n v="119.4"/>
    <n v="111.7"/>
    <n v="121.44999999999999"/>
    <n v="117.2"/>
    <x v="0"/>
  </r>
  <r>
    <x v="0"/>
    <x v="2"/>
    <x v="8"/>
    <x v="32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n v="123.7"/>
    <n v="124.5"/>
    <n v="121.4"/>
    <n v="113.8"/>
    <n v="119.6"/>
    <n v="124.5"/>
    <n v="113.7"/>
    <n v="118.8"/>
    <n v="127"/>
    <n v="127.50769230769232"/>
    <n v="131"/>
    <n v="129.9"/>
    <n v="121.6"/>
    <n v="123.7"/>
    <n v="119.1"/>
    <n v="121.4"/>
    <n v="113.8"/>
    <n v="122.05"/>
    <n v="118.8"/>
    <x v="0"/>
  </r>
  <r>
    <x v="1"/>
    <x v="2"/>
    <x v="8"/>
    <x v="32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28.06153846153845"/>
    <n v="134.69999999999999"/>
    <n v="123.2"/>
    <n v="121.6"/>
    <n v="115.1"/>
    <n v="116.65"/>
    <n v="117.1"/>
    <n v="109.1"/>
    <n v="121.9"/>
    <n v="116.2"/>
    <x v="0"/>
  </r>
  <r>
    <x v="2"/>
    <x v="2"/>
    <x v="8"/>
    <x v="32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27.56153846153848"/>
    <n v="132"/>
    <n v="127.2"/>
    <n v="121.6"/>
    <n v="120.4"/>
    <n v="118"/>
    <n v="119.8"/>
    <n v="111.3"/>
    <n v="122"/>
    <n v="117.5"/>
    <x v="0"/>
  </r>
  <r>
    <x v="0"/>
    <x v="2"/>
    <x v="9"/>
    <x v="33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n v="124.4"/>
    <n v="125.1"/>
    <n v="122"/>
    <n v="113.8"/>
    <n v="120.1"/>
    <n v="125.1"/>
    <n v="114.2"/>
    <n v="119.2"/>
    <n v="127.7"/>
    <n v="128.8153846153846"/>
    <n v="131.5"/>
    <n v="130.6"/>
    <n v="122.4"/>
    <n v="124.4"/>
    <n v="119.65"/>
    <n v="122"/>
    <n v="113.8"/>
    <n v="122.6"/>
    <n v="119.2"/>
    <x v="0"/>
  </r>
  <r>
    <x v="1"/>
    <x v="2"/>
    <x v="9"/>
    <x v="33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30.21538461538464"/>
    <n v="135.30000000000001"/>
    <n v="123.6"/>
    <n v="122.4"/>
    <n v="114.9"/>
    <n v="117.1"/>
    <n v="117.7"/>
    <n v="109.3"/>
    <n v="122.1"/>
    <n v="116.5"/>
    <x v="0"/>
  </r>
  <r>
    <x v="2"/>
    <x v="2"/>
    <x v="9"/>
    <x v="33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29.15384615384613"/>
    <n v="132.5"/>
    <n v="127.8"/>
    <n v="122.4"/>
    <n v="120.8"/>
    <n v="118.45"/>
    <n v="120.4"/>
    <n v="111.4"/>
    <n v="122.30000000000001"/>
    <n v="117.9"/>
    <x v="0"/>
  </r>
  <r>
    <x v="0"/>
    <x v="2"/>
    <x v="10"/>
    <x v="34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n v="125.6"/>
    <n v="125.6"/>
    <n v="122.6"/>
    <n v="114"/>
    <n v="120.9"/>
    <n v="125.8"/>
    <n v="114.2"/>
    <n v="119.6"/>
    <n v="128.30000000000001"/>
    <n v="129.71538461538461"/>
    <n v="132.19999999999999"/>
    <n v="131.5"/>
    <n v="122.9"/>
    <n v="125.6"/>
    <n v="119.9"/>
    <n v="122.6"/>
    <n v="114"/>
    <n v="123.35"/>
    <n v="119.6"/>
    <x v="0"/>
  </r>
  <r>
    <x v="1"/>
    <x v="2"/>
    <x v="10"/>
    <x v="34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31.42307692307691"/>
    <n v="137.6"/>
    <n v="124.2"/>
    <n v="122.9"/>
    <n v="115.1"/>
    <n v="117.15"/>
    <n v="118.1"/>
    <n v="109.3"/>
    <n v="122.25"/>
    <n v="116.6"/>
    <x v="0"/>
  </r>
  <r>
    <x v="2"/>
    <x v="2"/>
    <x v="10"/>
    <x v="34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30.16153846153844"/>
    <n v="133.6"/>
    <n v="128.6"/>
    <n v="122.9"/>
    <n v="121.6"/>
    <n v="118.6"/>
    <n v="120.9"/>
    <n v="111.5"/>
    <n v="122.75"/>
    <n v="118.1"/>
    <x v="0"/>
  </r>
  <r>
    <x v="0"/>
    <x v="2"/>
    <x v="11"/>
    <x v="35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n v="125.7"/>
    <n v="126"/>
    <n v="123.1"/>
    <n v="114"/>
    <n v="121.6"/>
    <n v="125.6"/>
    <n v="114.1"/>
    <n v="119.8"/>
    <n v="127.9"/>
    <n v="129.40769230769232"/>
    <n v="133.1"/>
    <n v="131.9"/>
    <n v="122.4"/>
    <n v="125.7"/>
    <n v="120.05"/>
    <n v="123.1"/>
    <n v="114"/>
    <n v="123.6"/>
    <n v="119.8"/>
    <x v="0"/>
  </r>
  <r>
    <x v="1"/>
    <x v="2"/>
    <x v="11"/>
    <x v="35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30.67692307692306"/>
    <n v="138.19999999999999"/>
    <n v="124.5"/>
    <n v="122.4"/>
    <n v="116"/>
    <n v="117.1"/>
    <n v="118.6"/>
    <n v="109.3"/>
    <n v="122.35"/>
    <n v="116.7"/>
    <x v="0"/>
  </r>
  <r>
    <x v="2"/>
    <x v="2"/>
    <x v="11"/>
    <x v="35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29.70000000000002"/>
    <n v="134.5"/>
    <n v="129"/>
    <n v="122.4"/>
    <n v="122"/>
    <n v="118.65"/>
    <n v="121.4"/>
    <n v="111.5"/>
    <n v="122.9"/>
    <n v="118.3"/>
    <x v="0"/>
  </r>
  <r>
    <x v="0"/>
    <x v="3"/>
    <x v="0"/>
    <x v="36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n v="126.2"/>
    <n v="126.6"/>
    <n v="123.7"/>
    <n v="113.6"/>
    <n v="121.4"/>
    <n v="126.2"/>
    <n v="114.9"/>
    <n v="120.1"/>
    <n v="128.1"/>
    <n v="130.00769230769231"/>
    <n v="133.6"/>
    <n v="132.6"/>
    <n v="123.4"/>
    <n v="126.2"/>
    <n v="120.75"/>
    <n v="123.7"/>
    <n v="113.6"/>
    <n v="123.80000000000001"/>
    <n v="120.1"/>
    <x v="0"/>
  </r>
  <r>
    <x v="1"/>
    <x v="3"/>
    <x v="0"/>
    <x v="36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30.87692307692308"/>
    <n v="139.5"/>
    <n v="124.9"/>
    <n v="123.4"/>
    <n v="116.9"/>
    <n v="117.8"/>
    <n v="119.1"/>
    <n v="108.9"/>
    <n v="122.45"/>
    <n v="116.8"/>
    <x v="0"/>
  </r>
  <r>
    <x v="2"/>
    <x v="3"/>
    <x v="0"/>
    <x v="36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30.13076923076923"/>
    <n v="135.19999999999999"/>
    <n v="129.5"/>
    <n v="123.4"/>
    <n v="122.7"/>
    <n v="119.35"/>
    <n v="122"/>
    <n v="111.1"/>
    <n v="123.05"/>
    <n v="118.5"/>
    <x v="0"/>
  </r>
  <r>
    <x v="0"/>
    <x v="3"/>
    <x v="1"/>
    <x v="37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n v="127.5"/>
    <n v="127.1"/>
    <n v="124.3"/>
    <n v="113.9"/>
    <n v="122.3"/>
    <n v="127.1"/>
    <n v="116.8"/>
    <n v="120.9"/>
    <n v="127.9"/>
    <n v="129.43076923076922"/>
    <n v="134.4"/>
    <n v="133.4"/>
    <n v="124.4"/>
    <n v="127.5"/>
    <n v="121.94999999999999"/>
    <n v="124.3"/>
    <n v="113.9"/>
    <n v="124.69999999999999"/>
    <n v="120.9"/>
    <x v="0"/>
  </r>
  <r>
    <x v="1"/>
    <x v="3"/>
    <x v="1"/>
    <x v="37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28.93076923076922"/>
    <n v="140"/>
    <n v="125.3"/>
    <n v="124.4"/>
    <n v="116"/>
    <n v="119"/>
    <n v="119.5"/>
    <n v="109.1"/>
    <n v="122.55"/>
    <n v="117.2"/>
    <x v="0"/>
  </r>
  <r>
    <x v="2"/>
    <x v="3"/>
    <x v="1"/>
    <x v="37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29.08461538461538"/>
    <n v="135.9"/>
    <n v="130.19999999999999"/>
    <n v="124.4"/>
    <n v="123.1"/>
    <n v="120.6"/>
    <n v="122.5"/>
    <n v="111.4"/>
    <n v="123.44999999999999"/>
    <n v="119.1"/>
    <x v="0"/>
  </r>
  <r>
    <x v="0"/>
    <x v="3"/>
    <x v="2"/>
    <x v="38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n v="127"/>
    <n v="127.7"/>
    <n v="124.8"/>
    <n v="113.6"/>
    <n v="122.5"/>
    <n v="127.5"/>
    <n v="117.4"/>
    <n v="121.1"/>
    <n v="128"/>
    <n v="129.43846153846155"/>
    <n v="135"/>
    <n v="133.80000000000001"/>
    <n v="124.9"/>
    <n v="127"/>
    <n v="122.55000000000001"/>
    <n v="124.8"/>
    <n v="113.6"/>
    <n v="125"/>
    <n v="121.1"/>
    <x v="0"/>
  </r>
  <r>
    <x v="1"/>
    <x v="3"/>
    <x v="2"/>
    <x v="38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28.27692307692308"/>
    <n v="140.6"/>
    <n v="125.5"/>
    <n v="124.9"/>
    <n v="114.8"/>
    <n v="119.69999999999999"/>
    <n v="119.7"/>
    <n v="108.5"/>
    <n v="122.75"/>
    <n v="117.3"/>
    <x v="0"/>
  </r>
  <r>
    <x v="2"/>
    <x v="3"/>
    <x v="2"/>
    <x v="38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28.86153846153846"/>
    <n v="136.5"/>
    <n v="130.5"/>
    <n v="124.9"/>
    <n v="122.4"/>
    <n v="121.19999999999999"/>
    <n v="122.9"/>
    <n v="110.9"/>
    <n v="123.75"/>
    <n v="119.3"/>
    <x v="0"/>
  </r>
  <r>
    <x v="0"/>
    <x v="3"/>
    <x v="3"/>
    <x v="39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n v="127"/>
    <n v="128"/>
    <n v="125.2"/>
    <n v="114.4"/>
    <n v="123.2"/>
    <n v="127.9"/>
    <n v="118.4"/>
    <n v="121.7"/>
    <n v="129"/>
    <n v="130.89230769230772"/>
    <n v="135.5"/>
    <n v="134.4"/>
    <n v="125.6"/>
    <n v="127"/>
    <n v="123.2"/>
    <n v="125.2"/>
    <n v="114.4"/>
    <n v="125.55000000000001"/>
    <n v="121.7"/>
    <x v="0"/>
  </r>
  <r>
    <x v="1"/>
    <x v="3"/>
    <x v="3"/>
    <x v="39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31.25384615384615"/>
    <n v="141.5"/>
    <n v="125.8"/>
    <n v="125.6"/>
    <n v="114.6"/>
    <n v="120.19999999999999"/>
    <n v="120"/>
    <n v="110"/>
    <n v="123.55"/>
    <n v="118.2"/>
    <x v="0"/>
  </r>
  <r>
    <x v="2"/>
    <x v="3"/>
    <x v="3"/>
    <x v="39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30.86923076923077"/>
    <n v="137.1"/>
    <n v="131"/>
    <n v="125.6"/>
    <n v="122.3"/>
    <n v="121.8"/>
    <n v="123.2"/>
    <n v="112.1"/>
    <n v="124.4"/>
    <n v="120"/>
    <x v="0"/>
  </r>
  <r>
    <x v="0"/>
    <x v="3"/>
    <x v="4"/>
    <x v="40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n v="127.4"/>
    <n v="128.5"/>
    <n v="125.8"/>
    <n v="115.1"/>
    <n v="123.6"/>
    <n v="129.1"/>
    <n v="119.7"/>
    <n v="122.5"/>
    <n v="130.30000000000001"/>
    <n v="132.59230769230768"/>
    <n v="136"/>
    <n v="134.80000000000001"/>
    <n v="126"/>
    <n v="127.4"/>
    <n v="124.1"/>
    <n v="125.8"/>
    <n v="115.1"/>
    <n v="126.35"/>
    <n v="122.5"/>
    <x v="0"/>
  </r>
  <r>
    <x v="1"/>
    <x v="3"/>
    <x v="4"/>
    <x v="40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34.36923076923074"/>
    <n v="142.19999999999999"/>
    <n v="126.2"/>
    <n v="126"/>
    <n v="115"/>
    <n v="120.85"/>
    <n v="120.3"/>
    <n v="110.7"/>
    <n v="123.9"/>
    <n v="118.7"/>
    <x v="0"/>
  </r>
  <r>
    <x v="2"/>
    <x v="3"/>
    <x v="4"/>
    <x v="40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33.1076923076923"/>
    <n v="137.69999999999999"/>
    <n v="131.4"/>
    <n v="126"/>
    <n v="122.7"/>
    <n v="122.6"/>
    <n v="123.7"/>
    <n v="112.8"/>
    <n v="125"/>
    <n v="120.7"/>
    <x v="0"/>
  </r>
  <r>
    <x v="0"/>
    <x v="3"/>
    <x v="5"/>
    <x v="41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n v="128"/>
    <n v="129.30000000000001"/>
    <n v="126.2"/>
    <n v="116.3"/>
    <n v="124.1"/>
    <n v="130.19999999999999"/>
    <n v="119.9"/>
    <n v="123.3"/>
    <n v="131.9"/>
    <n v="134.50769230769231"/>
    <n v="137.19999999999999"/>
    <n v="135.6"/>
    <n v="125.5"/>
    <n v="128"/>
    <n v="124.60000000000001"/>
    <n v="126.2"/>
    <n v="116.3"/>
    <n v="127.14999999999999"/>
    <n v="123.3"/>
    <x v="0"/>
  </r>
  <r>
    <x v="1"/>
    <x v="3"/>
    <x v="5"/>
    <x v="41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37.46153846153848"/>
    <n v="142.69999999999999"/>
    <n v="126.6"/>
    <n v="125.5"/>
    <n v="115.5"/>
    <n v="121"/>
    <n v="120.6"/>
    <n v="112.3"/>
    <n v="124.60000000000001"/>
    <n v="119.6"/>
    <x v="0"/>
  </r>
  <r>
    <x v="2"/>
    <x v="3"/>
    <x v="5"/>
    <x v="41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35.43076923076922"/>
    <n v="138.69999999999999"/>
    <n v="132"/>
    <n v="125.5"/>
    <n v="123.3"/>
    <n v="122.9"/>
    <n v="124.1"/>
    <n v="114.2"/>
    <n v="125.69999999999999"/>
    <n v="121.5"/>
    <x v="0"/>
  </r>
  <r>
    <x v="0"/>
    <x v="3"/>
    <x v="6"/>
    <x v="42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n v="128.19999999999999"/>
    <n v="130"/>
    <n v="126.7"/>
    <n v="116.4"/>
    <n v="125.2"/>
    <n v="130.80000000000001"/>
    <n v="120.9"/>
    <n v="123.8"/>
    <n v="133"/>
    <n v="136.17692307692306"/>
    <n v="138"/>
    <n v="136.5"/>
    <n v="126.4"/>
    <n v="128.19999999999999"/>
    <n v="125.45"/>
    <n v="126.7"/>
    <n v="116.4"/>
    <n v="128"/>
    <n v="123.8"/>
    <x v="0"/>
  </r>
  <r>
    <x v="1"/>
    <x v="3"/>
    <x v="6"/>
    <x v="42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39.34615384615387"/>
    <n v="142.9"/>
    <n v="126.9"/>
    <n v="126.4"/>
    <n v="115.5"/>
    <n v="121.75"/>
    <n v="120.9"/>
    <n v="111.7"/>
    <n v="125.55000000000001"/>
    <n v="119.9"/>
    <x v="0"/>
  </r>
  <r>
    <x v="2"/>
    <x v="3"/>
    <x v="6"/>
    <x v="42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37.19230769230768"/>
    <n v="139.30000000000001"/>
    <n v="132.69999999999999"/>
    <n v="126.4"/>
    <n v="123.4"/>
    <n v="123.7"/>
    <n v="124.5"/>
    <n v="113.9"/>
    <n v="126.60000000000001"/>
    <n v="121.9"/>
    <x v="0"/>
  </r>
  <r>
    <x v="0"/>
    <x v="3"/>
    <x v="7"/>
    <x v="43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n v="129.1"/>
    <n v="130.6"/>
    <n v="127"/>
    <n v="116"/>
    <n v="125.5"/>
    <n v="131.9"/>
    <n v="122"/>
    <n v="124.2"/>
    <n v="133.5"/>
    <n v="136.73076923076923"/>
    <n v="138.9"/>
    <n v="137.1"/>
    <n v="127.3"/>
    <n v="129.1"/>
    <n v="126.3"/>
    <n v="127"/>
    <n v="116"/>
    <n v="128.69999999999999"/>
    <n v="124.2"/>
    <x v="0"/>
  </r>
  <r>
    <x v="1"/>
    <x v="3"/>
    <x v="7"/>
    <x v="43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37.2307692307692"/>
    <n v="143.6"/>
    <n v="127.3"/>
    <n v="127.3"/>
    <n v="114.7"/>
    <n v="122.4"/>
    <n v="121.2"/>
    <n v="110.4"/>
    <n v="126.05"/>
    <n v="119.9"/>
    <x v="0"/>
  </r>
  <r>
    <x v="2"/>
    <x v="3"/>
    <x v="7"/>
    <x v="43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36.76153846153846"/>
    <n v="140.19999999999999"/>
    <n v="133.19999999999999"/>
    <n v="127.3"/>
    <n v="123.6"/>
    <n v="124.45"/>
    <n v="124.8"/>
    <n v="113.1"/>
    <n v="127.19999999999999"/>
    <n v="122.1"/>
    <x v="0"/>
  </r>
  <r>
    <x v="0"/>
    <x v="3"/>
    <x v="8"/>
    <x v="44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n v="129.69999999999999"/>
    <n v="131.1"/>
    <n v="127.8"/>
    <n v="117"/>
    <n v="125.7"/>
    <n v="132.19999999999999"/>
    <n v="122.8"/>
    <n v="124.9"/>
    <n v="133.4"/>
    <n v="136.2076923076923"/>
    <n v="139.9"/>
    <n v="137.80000000000001"/>
    <n v="127.9"/>
    <n v="129.69999999999999"/>
    <n v="126.94999999999999"/>
    <n v="127.8"/>
    <n v="117"/>
    <n v="128.94999999999999"/>
    <n v="124.9"/>
    <x v="0"/>
  </r>
  <r>
    <x v="1"/>
    <x v="3"/>
    <x v="8"/>
    <x v="44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35.10769230769228"/>
    <n v="143.9"/>
    <n v="127.7"/>
    <n v="127.9"/>
    <n v="114.8"/>
    <n v="122.75"/>
    <n v="121.4"/>
    <n v="111.8"/>
    <n v="126.19999999999999"/>
    <n v="120.5"/>
    <x v="0"/>
  </r>
  <r>
    <x v="2"/>
    <x v="3"/>
    <x v="8"/>
    <x v="44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35.66923076923075"/>
    <n v="141"/>
    <n v="133.80000000000001"/>
    <n v="127.9"/>
    <n v="124.1"/>
    <n v="125"/>
    <n v="125.4"/>
    <n v="114.3"/>
    <n v="127.35000000000001"/>
    <n v="122.8"/>
    <x v="0"/>
  </r>
  <r>
    <x v="0"/>
    <x v="3"/>
    <x v="9"/>
    <x v="45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n v="129.80000000000001"/>
    <n v="131.80000000000001"/>
    <n v="128.69999999999999"/>
    <n v="117.8"/>
    <n v="126.5"/>
    <n v="133"/>
    <n v="123"/>
    <n v="125.7"/>
    <n v="133.80000000000001"/>
    <n v="136.2923076923077"/>
    <n v="140.9"/>
    <n v="138.80000000000001"/>
    <n v="128.69999999999999"/>
    <n v="129.80000000000001"/>
    <n v="127.4"/>
    <n v="128.69999999999999"/>
    <n v="117.8"/>
    <n v="129.75"/>
    <n v="125.7"/>
    <x v="0"/>
  </r>
  <r>
    <x v="1"/>
    <x v="3"/>
    <x v="9"/>
    <x v="45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35.6076923076923"/>
    <n v="144.30000000000001"/>
    <n v="128"/>
    <n v="128.69999999999999"/>
    <n v="115.2"/>
    <n v="122.65"/>
    <n v="121.8"/>
    <n v="112.8"/>
    <n v="126.55000000000001"/>
    <n v="120.9"/>
    <x v="0"/>
  </r>
  <r>
    <x v="2"/>
    <x v="3"/>
    <x v="9"/>
    <x v="45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35.90769230769226"/>
    <n v="141.80000000000001"/>
    <n v="134.5"/>
    <n v="128.69999999999999"/>
    <n v="124.3"/>
    <n v="125.25"/>
    <n v="126.1"/>
    <n v="115.2"/>
    <n v="127.95"/>
    <n v="123.4"/>
    <x v="0"/>
  </r>
  <r>
    <x v="0"/>
    <x v="3"/>
    <x v="10"/>
    <x v="46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n v="130.30000000000001"/>
    <n v="132.1"/>
    <n v="129.1"/>
    <n v="118.2"/>
    <n v="126.9"/>
    <n v="133.69999999999999"/>
    <n v="123.5"/>
    <n v="126.1"/>
    <n v="133.6"/>
    <n v="135.73846153846154"/>
    <n v="141.19999999999999"/>
    <n v="139.19999999999999"/>
    <n v="129.1"/>
    <n v="130.30000000000001"/>
    <n v="127.8"/>
    <n v="129.1"/>
    <n v="118.2"/>
    <n v="130.30000000000001"/>
    <n v="126.1"/>
    <x v="0"/>
  </r>
  <r>
    <x v="1"/>
    <x v="3"/>
    <x v="10"/>
    <x v="46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35.01538461538462"/>
    <n v="144.30000000000001"/>
    <n v="128.5"/>
    <n v="129.1"/>
    <n v="116.2"/>
    <n v="123"/>
    <n v="122.1"/>
    <n v="113.4"/>
    <n v="126.9"/>
    <n v="121.3"/>
    <x v="0"/>
  </r>
  <r>
    <x v="2"/>
    <x v="3"/>
    <x v="10"/>
    <x v="46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35.36923076923077"/>
    <n v="142"/>
    <n v="135"/>
    <n v="129.1"/>
    <n v="125"/>
    <n v="125.6"/>
    <n v="126.4"/>
    <n v="115.7"/>
    <n v="128.4"/>
    <n v="123.8"/>
    <x v="0"/>
  </r>
  <r>
    <x v="0"/>
    <x v="3"/>
    <x v="11"/>
    <x v="47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n v="132"/>
    <n v="132.9"/>
    <n v="129.69999999999999"/>
    <n v="118.6"/>
    <n v="127.3"/>
    <n v="134.19999999999999"/>
    <n v="121.9"/>
    <n v="126.3"/>
    <n v="132.80000000000001"/>
    <n v="134.54615384615383"/>
    <n v="142.4"/>
    <n v="139.69999999999999"/>
    <n v="128.5"/>
    <n v="132"/>
    <n v="127.4"/>
    <n v="129.69999999999999"/>
    <n v="118.6"/>
    <n v="130.75"/>
    <n v="126.3"/>
    <x v="0"/>
  </r>
  <r>
    <x v="1"/>
    <x v="3"/>
    <x v="11"/>
    <x v="47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33.06153846153845"/>
    <n v="145"/>
    <n v="128.80000000000001"/>
    <n v="128.5"/>
    <n v="117.8"/>
    <n v="122.45"/>
    <n v="122.3"/>
    <n v="113.7"/>
    <n v="127.05000000000001"/>
    <n v="121.4"/>
    <x v="0"/>
  </r>
  <r>
    <x v="2"/>
    <x v="3"/>
    <x v="11"/>
    <x v="47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33.9"/>
    <n v="143.1"/>
    <n v="135.4"/>
    <n v="128.5"/>
    <n v="126.6"/>
    <n v="125.14999999999999"/>
    <n v="126.9"/>
    <n v="116"/>
    <n v="128.65"/>
    <n v="123.9"/>
    <x v="0"/>
  </r>
  <r>
    <x v="0"/>
    <x v="4"/>
    <x v="0"/>
    <x v="48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n v="132.1"/>
    <n v="133.19999999999999"/>
    <n v="129.9"/>
    <n v="119.1"/>
    <n v="127"/>
    <n v="134.6"/>
    <n v="122.3"/>
    <n v="126.6"/>
    <n v="132.4"/>
    <n v="133.63846153846154"/>
    <n v="143.1"/>
    <n v="140"/>
    <n v="129.6"/>
    <n v="132.1"/>
    <n v="127.75"/>
    <n v="129.9"/>
    <n v="119.1"/>
    <n v="130.80000000000001"/>
    <n v="126.6"/>
    <x v="0"/>
  </r>
  <r>
    <x v="1"/>
    <x v="4"/>
    <x v="0"/>
    <x v="48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31.78461538461539"/>
    <n v="145.6"/>
    <n v="129"/>
    <n v="129.6"/>
    <n v="118"/>
    <n v="123"/>
    <n v="122.6"/>
    <n v="115.2"/>
    <n v="127.2"/>
    <n v="122.1"/>
    <x v="0"/>
  </r>
  <r>
    <x v="2"/>
    <x v="4"/>
    <x v="0"/>
    <x v="48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32.86923076923074"/>
    <n v="143.80000000000001"/>
    <n v="135.6"/>
    <n v="129.6"/>
    <n v="126.8"/>
    <n v="125.55000000000001"/>
    <n v="127.1"/>
    <n v="117"/>
    <n v="128.75"/>
    <n v="124.4"/>
    <x v="0"/>
  </r>
  <r>
    <x v="0"/>
    <x v="4"/>
    <x v="1"/>
    <x v="49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n v="133.19999999999999"/>
    <n v="133.6"/>
    <n v="130.1"/>
    <n v="119.5"/>
    <n v="127.7"/>
    <n v="134.9"/>
    <n v="123.2"/>
    <n v="127"/>
    <n v="132.6"/>
    <n v="133.42307692307693"/>
    <n v="143.69999999999999"/>
    <n v="140.19999999999999"/>
    <n v="130.5"/>
    <n v="133.19999999999999"/>
    <n v="128.4"/>
    <n v="130.1"/>
    <n v="119.5"/>
    <n v="131.30000000000001"/>
    <n v="127"/>
    <x v="0"/>
  </r>
  <r>
    <x v="1"/>
    <x v="4"/>
    <x v="1"/>
    <x v="49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31.17692307692309"/>
    <n v="146.30000000000001"/>
    <n v="129.30000000000001"/>
    <n v="130.5"/>
    <n v="119.2"/>
    <n v="123.5"/>
    <n v="122.9"/>
    <n v="115.5"/>
    <n v="127.30000000000001"/>
    <n v="122.4"/>
    <x v="0"/>
  </r>
  <r>
    <x v="2"/>
    <x v="4"/>
    <x v="1"/>
    <x v="49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32.48461538461541"/>
    <n v="144.4"/>
    <n v="135.9"/>
    <n v="130.5"/>
    <n v="127.9"/>
    <n v="126.14999999999999"/>
    <n v="127.4"/>
    <n v="117.4"/>
    <n v="129"/>
    <n v="124.8"/>
    <x v="0"/>
  </r>
  <r>
    <x v="0"/>
    <x v="4"/>
    <x v="2"/>
    <x v="50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n v="134.19999999999999"/>
    <n v="134.1"/>
    <n v="130.6"/>
    <n v="119.8"/>
    <n v="128.30000000000001"/>
    <n v="135.19999999999999"/>
    <n v="123.3"/>
    <n v="127.4"/>
    <n v="132.80000000000001"/>
    <n v="132.96153846153848"/>
    <n v="144.19999999999999"/>
    <n v="140.80000000000001"/>
    <n v="131.1"/>
    <n v="134.19999999999999"/>
    <n v="128.69999999999999"/>
    <n v="130.6"/>
    <n v="119.8"/>
    <n v="131.75"/>
    <n v="127.4"/>
    <x v="0"/>
  </r>
  <r>
    <x v="1"/>
    <x v="4"/>
    <x v="2"/>
    <x v="50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31.2076923076923"/>
    <n v="147.5"/>
    <n v="129.6"/>
    <n v="131.1"/>
    <n v="120.8"/>
    <n v="123.65"/>
    <n v="123.1"/>
    <n v="115.6"/>
    <n v="127.60000000000001"/>
    <n v="122.6"/>
    <x v="0"/>
  </r>
  <r>
    <x v="2"/>
    <x v="4"/>
    <x v="2"/>
    <x v="50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32.22307692307692"/>
    <n v="145.1"/>
    <n v="136.4"/>
    <n v="131.1"/>
    <n v="129.1"/>
    <n v="126.35"/>
    <n v="127.8"/>
    <n v="117.6"/>
    <n v="129.4"/>
    <n v="125.1"/>
    <x v="0"/>
  </r>
  <r>
    <x v="0"/>
    <x v="4"/>
    <x v="3"/>
    <x v="51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n v="135"/>
    <n v="134.30000000000001"/>
    <n v="131"/>
    <n v="119.2"/>
    <n v="128.30000000000001"/>
    <n v="135.69999999999999"/>
    <n v="123.7"/>
    <n v="127.5"/>
    <n v="132.9"/>
    <n v="132.7923076923077"/>
    <n v="144.4"/>
    <n v="141.6"/>
    <n v="131.69999999999999"/>
    <n v="135"/>
    <n v="129"/>
    <n v="131"/>
    <n v="119.2"/>
    <n v="132"/>
    <n v="127.5"/>
    <x v="0"/>
  </r>
  <r>
    <x v="1"/>
    <x v="4"/>
    <x v="3"/>
    <x v="51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31.3923076923077"/>
    <n v="148"/>
    <n v="130"/>
    <n v="131.69999999999999"/>
    <n v="121.4"/>
    <n v="124.1"/>
    <n v="123.4"/>
    <n v="114.3"/>
    <n v="128.1"/>
    <n v="122.5"/>
    <x v="0"/>
  </r>
  <r>
    <x v="2"/>
    <x v="4"/>
    <x v="3"/>
    <x v="51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32.1846153846154"/>
    <n v="145.4"/>
    <n v="137"/>
    <n v="131.69999999999999"/>
    <n v="129.80000000000001"/>
    <n v="126.75"/>
    <n v="128.1"/>
    <n v="116.6"/>
    <n v="129.80000000000001"/>
    <n v="125.1"/>
    <x v="0"/>
  </r>
  <r>
    <x v="0"/>
    <x v="4"/>
    <x v="4"/>
    <x v="52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n v="135"/>
    <n v="134.9"/>
    <n v="131.4"/>
    <n v="119.4"/>
    <n v="129.4"/>
    <n v="136.30000000000001"/>
    <n v="123.7"/>
    <n v="127.9"/>
    <n v="133.30000000000001"/>
    <n v="132.88461538461536"/>
    <n v="145.5"/>
    <n v="141.80000000000001"/>
    <n v="132.1"/>
    <n v="135"/>
    <n v="129.30000000000001"/>
    <n v="131.4"/>
    <n v="119.4"/>
    <n v="132.85000000000002"/>
    <n v="127.9"/>
    <x v="0"/>
  </r>
  <r>
    <x v="1"/>
    <x v="4"/>
    <x v="4"/>
    <x v="52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31.50769230769231"/>
    <n v="148.30000000000001"/>
    <n v="130.19999999999999"/>
    <n v="132.1"/>
    <n v="120.1"/>
    <n v="124.25"/>
    <n v="123.6"/>
    <n v="114.3"/>
    <n v="128.30000000000001"/>
    <n v="122.6"/>
    <x v="0"/>
  </r>
  <r>
    <x v="2"/>
    <x v="4"/>
    <x v="4"/>
    <x v="52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32.27692307692308"/>
    <n v="146.19999999999999"/>
    <n v="137.19999999999999"/>
    <n v="132.1"/>
    <n v="129.4"/>
    <n v="126.95"/>
    <n v="128.4"/>
    <n v="116.7"/>
    <n v="130.25"/>
    <n v="125.3"/>
    <x v="0"/>
  </r>
  <r>
    <x v="0"/>
    <x v="4"/>
    <x v="5"/>
    <x v="53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n v="134.80000000000001"/>
    <n v="135.19999999999999"/>
    <n v="131.30000000000001"/>
    <n v="119.4"/>
    <n v="129.80000000000001"/>
    <n v="136.9"/>
    <n v="124.1"/>
    <n v="128.1"/>
    <n v="133.9"/>
    <n v="133.75384615384615"/>
    <n v="145.80000000000001"/>
    <n v="142.30000000000001"/>
    <n v="131.4"/>
    <n v="134.80000000000001"/>
    <n v="129.64999999999998"/>
    <n v="131.30000000000001"/>
    <n v="119.4"/>
    <n v="133.35000000000002"/>
    <n v="128.1"/>
    <x v="0"/>
  </r>
  <r>
    <x v="1"/>
    <x v="4"/>
    <x v="5"/>
    <x v="53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33.15384615384616"/>
    <n v="148.6"/>
    <n v="130.19999999999999"/>
    <n v="131.4"/>
    <n v="119"/>
    <n v="124.65"/>
    <n v="123.8"/>
    <n v="113.9"/>
    <n v="128.60000000000002"/>
    <n v="122.7"/>
    <x v="0"/>
  </r>
  <r>
    <x v="2"/>
    <x v="4"/>
    <x v="5"/>
    <x v="53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33.43846153846155"/>
    <n v="146.5"/>
    <n v="137.5"/>
    <n v="131.4"/>
    <n v="128.80000000000001"/>
    <n v="127.3"/>
    <n v="128.5"/>
    <n v="116.5"/>
    <n v="130.65"/>
    <n v="125.5"/>
    <x v="0"/>
  </r>
  <r>
    <x v="0"/>
    <x v="4"/>
    <x v="6"/>
    <x v="54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n v="135.30000000000001"/>
    <n v="136.1"/>
    <n v="132.1"/>
    <n v="119.1"/>
    <n v="130.6"/>
    <n v="138.6"/>
    <n v="124.4"/>
    <n v="128.6"/>
    <n v="136.19999999999999"/>
    <n v="136.37692307692308"/>
    <n v="147.4"/>
    <n v="143.5"/>
    <n v="132.6"/>
    <n v="135.30000000000001"/>
    <n v="130.25"/>
    <n v="132.1"/>
    <n v="119.1"/>
    <n v="134.6"/>
    <n v="128.6"/>
    <x v="0"/>
  </r>
  <r>
    <x v="1"/>
    <x v="4"/>
    <x v="6"/>
    <x v="54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36.00769230769231"/>
    <n v="150.5"/>
    <n v="130.4"/>
    <n v="132.6"/>
    <n v="119.7"/>
    <n v="124.80000000000001"/>
    <n v="125"/>
    <n v="113.2"/>
    <n v="129.5"/>
    <n v="123"/>
    <x v="0"/>
  </r>
  <r>
    <x v="2"/>
    <x v="4"/>
    <x v="6"/>
    <x v="54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36.1076923076923"/>
    <n v="148.19999999999999"/>
    <n v="138.30000000000001"/>
    <n v="132.6"/>
    <n v="129.4"/>
    <n v="127.75"/>
    <n v="129.4"/>
    <n v="116"/>
    <n v="131.69999999999999"/>
    <n v="125.9"/>
    <x v="0"/>
  </r>
  <r>
    <x v="0"/>
    <x v="4"/>
    <x v="7"/>
    <x v="55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n v="136.4"/>
    <n v="137.30000000000001"/>
    <n v="133"/>
    <n v="120.3"/>
    <n v="131.5"/>
    <n v="140.19999999999999"/>
    <n v="125.4"/>
    <n v="129.69999999999999"/>
    <n v="137.80000000000001"/>
    <n v="137.88461538461536"/>
    <n v="149"/>
    <n v="144.5"/>
    <n v="134.4"/>
    <n v="136.4"/>
    <n v="131.35000000000002"/>
    <n v="133"/>
    <n v="120.3"/>
    <n v="135.85"/>
    <n v="129.69999999999999"/>
    <x v="0"/>
  </r>
  <r>
    <x v="1"/>
    <x v="4"/>
    <x v="7"/>
    <x v="55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36.38461538461536"/>
    <n v="152.1"/>
    <n v="131.4"/>
    <n v="134.4"/>
    <n v="118.9"/>
    <n v="125.5"/>
    <n v="125.7"/>
    <n v="114.6"/>
    <n v="129.89999999999998"/>
    <n v="123.8"/>
    <x v="0"/>
  </r>
  <r>
    <x v="2"/>
    <x v="4"/>
    <x v="7"/>
    <x v="55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37.21538461538461"/>
    <n v="149.80000000000001"/>
    <n v="139.30000000000001"/>
    <n v="134.4"/>
    <n v="129.80000000000001"/>
    <n v="128.65"/>
    <n v="130.19999999999999"/>
    <n v="117.3"/>
    <n v="132.44999999999999"/>
    <n v="126.8"/>
    <x v="0"/>
  </r>
  <r>
    <x v="0"/>
    <x v="4"/>
    <x v="8"/>
    <x v="56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n v="137.4"/>
    <n v="137.9"/>
    <n v="133.4"/>
    <n v="121.2"/>
    <n v="132.30000000000001"/>
    <n v="139.6"/>
    <n v="126.7"/>
    <n v="130.30000000000001"/>
    <n v="137.6"/>
    <n v="137.25384615384615"/>
    <n v="149.80000000000001"/>
    <n v="145.19999999999999"/>
    <n v="135.69999999999999"/>
    <n v="137.4"/>
    <n v="132.30000000000001"/>
    <n v="133.4"/>
    <n v="121.2"/>
    <n v="135.94999999999999"/>
    <n v="130.30000000000001"/>
    <x v="0"/>
  </r>
  <r>
    <x v="1"/>
    <x v="4"/>
    <x v="8"/>
    <x v="56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34.59230769230768"/>
    <n v="153.6"/>
    <n v="132"/>
    <n v="135.69999999999999"/>
    <n v="120.6"/>
    <n v="126.25"/>
    <n v="126.1"/>
    <n v="115.7"/>
    <n v="130.19999999999999"/>
    <n v="124.5"/>
    <x v="0"/>
  </r>
  <r>
    <x v="2"/>
    <x v="4"/>
    <x v="8"/>
    <x v="56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36.15384615384613"/>
    <n v="150.80000000000001"/>
    <n v="140"/>
    <n v="135.69999999999999"/>
    <n v="131"/>
    <n v="129.5"/>
    <n v="130.6"/>
    <n v="118.3"/>
    <n v="132.65"/>
    <n v="127.5"/>
    <x v="0"/>
  </r>
  <r>
    <x v="0"/>
    <x v="4"/>
    <x v="9"/>
    <x v="57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n v="138.1"/>
    <n v="138.4"/>
    <n v="134.19999999999999"/>
    <n v="121"/>
    <n v="133"/>
    <n v="140.1"/>
    <n v="127.4"/>
    <n v="130.69999999999999"/>
    <n v="138.30000000000001"/>
    <n v="137.76153846153846"/>
    <n v="150.5"/>
    <n v="146.19999999999999"/>
    <n v="137.30000000000001"/>
    <n v="138.1"/>
    <n v="132.9"/>
    <n v="134.19999999999999"/>
    <n v="121"/>
    <n v="136.55000000000001"/>
    <n v="130.69999999999999"/>
    <x v="0"/>
  </r>
  <r>
    <x v="1"/>
    <x v="4"/>
    <x v="9"/>
    <x v="57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35.82307692307691"/>
    <n v="154.6"/>
    <n v="132.6"/>
    <n v="137.30000000000001"/>
    <n v="122.6"/>
    <n v="126.45"/>
    <n v="126.6"/>
    <n v="115"/>
    <n v="130.55000000000001"/>
    <n v="124.5"/>
    <x v="0"/>
  </r>
  <r>
    <x v="2"/>
    <x v="4"/>
    <x v="9"/>
    <x v="57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36.89999999999998"/>
    <n v="151.6"/>
    <n v="140.80000000000001"/>
    <n v="137.30000000000001"/>
    <n v="132.19999999999999"/>
    <n v="129.9"/>
    <n v="131.30000000000001"/>
    <n v="117.8"/>
    <n v="133.15"/>
    <n v="127.7"/>
    <x v="0"/>
  </r>
  <r>
    <x v="0"/>
    <x v="4"/>
    <x v="10"/>
    <x v="58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n v="141.1"/>
    <n v="139.4"/>
    <n v="135.80000000000001"/>
    <n v="121.6"/>
    <n v="133.69999999999999"/>
    <n v="141.5"/>
    <n v="128.1"/>
    <n v="131.69999999999999"/>
    <n v="140"/>
    <n v="139.82307692307694"/>
    <n v="152.1"/>
    <n v="147.30000000000001"/>
    <n v="138.6"/>
    <n v="141.1"/>
    <n v="133.75"/>
    <n v="135.80000000000001"/>
    <n v="121.6"/>
    <n v="137.6"/>
    <n v="131.69999999999999"/>
    <x v="0"/>
  </r>
  <r>
    <x v="1"/>
    <x v="4"/>
    <x v="10"/>
    <x v="58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38.2076923076923"/>
    <n v="156.19999999999999"/>
    <n v="133.5"/>
    <n v="138.6"/>
    <n v="125.7"/>
    <n v="126.85000000000001"/>
    <n v="127.4"/>
    <n v="115.3"/>
    <n v="130.85"/>
    <n v="124.9"/>
    <x v="0"/>
  </r>
  <r>
    <x v="2"/>
    <x v="4"/>
    <x v="10"/>
    <x v="58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39.09230769230768"/>
    <n v="153.19999999999999"/>
    <n v="141.80000000000001"/>
    <n v="138.6"/>
    <n v="135.30000000000001"/>
    <n v="130.6"/>
    <n v="132.6"/>
    <n v="118.3"/>
    <n v="133.75"/>
    <n v="128.4"/>
    <x v="0"/>
  </r>
  <r>
    <x v="0"/>
    <x v="4"/>
    <x v="11"/>
    <x v="59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n v="142.6"/>
    <n v="139.5"/>
    <n v="136.1"/>
    <n v="122"/>
    <n v="133.4"/>
    <n v="141.1"/>
    <n v="127.8"/>
    <n v="131.9"/>
    <n v="139.80000000000001"/>
    <n v="139.50769230769231"/>
    <n v="153.19999999999999"/>
    <n v="147.19999999999999"/>
    <n v="139.1"/>
    <n v="142.6"/>
    <n v="133.65"/>
    <n v="136.1"/>
    <n v="122"/>
    <n v="137.25"/>
    <n v="131.9"/>
    <x v="0"/>
  </r>
  <r>
    <x v="1"/>
    <x v="4"/>
    <x v="11"/>
    <x v="59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35.96153846153845"/>
    <n v="157"/>
    <n v="134"/>
    <n v="139.1"/>
    <n v="126.8"/>
    <n v="126.95"/>
    <n v="128.19999999999999"/>
    <n v="115.3"/>
    <n v="131.14999999999998"/>
    <n v="125.1"/>
    <x v="0"/>
  </r>
  <r>
    <x v="2"/>
    <x v="4"/>
    <x v="11"/>
    <x v="59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38.07692307692307"/>
    <n v="154.19999999999999"/>
    <n v="142"/>
    <n v="139.1"/>
    <n v="136.6"/>
    <n v="130.6"/>
    <n v="133.1"/>
    <n v="118.5"/>
    <n v="133.75"/>
    <n v="128.6"/>
    <x v="0"/>
  </r>
  <r>
    <x v="0"/>
    <x v="5"/>
    <x v="0"/>
    <x v="6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n v="142.30000000000001"/>
    <n v="139.80000000000001"/>
    <n v="136"/>
    <n v="122.7"/>
    <n v="134.30000000000001"/>
    <n v="141.6"/>
    <n v="128.6"/>
    <n v="132.30000000000001"/>
    <n v="139.30000000000001"/>
    <n v="138.51538461538462"/>
    <n v="153.6"/>
    <n v="147.5"/>
    <n v="140.4"/>
    <n v="142.30000000000001"/>
    <n v="134.19999999999999"/>
    <n v="136"/>
    <n v="122.7"/>
    <n v="137.94999999999999"/>
    <n v="132.30000000000001"/>
    <x v="0"/>
  </r>
  <r>
    <x v="1"/>
    <x v="5"/>
    <x v="0"/>
    <x v="6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34.48461538461541"/>
    <n v="157.69999999999999"/>
    <n v="134.4"/>
    <n v="140.4"/>
    <n v="127.3"/>
    <n v="127.5"/>
    <n v="129"/>
    <n v="116.3"/>
    <n v="131.65"/>
    <n v="125.8"/>
    <x v="0"/>
  </r>
  <r>
    <x v="2"/>
    <x v="5"/>
    <x v="0"/>
    <x v="6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36.91538461538462"/>
    <n v="154.69999999999999"/>
    <n v="142.30000000000001"/>
    <n v="140.4"/>
    <n v="136.6"/>
    <n v="131.1"/>
    <n v="133.30000000000001"/>
    <n v="119.3"/>
    <n v="134.35"/>
    <n v="129.1"/>
    <x v="0"/>
  </r>
  <r>
    <x v="0"/>
    <x v="5"/>
    <x v="1"/>
    <x v="6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n v="142.4"/>
    <n v="139.9"/>
    <n v="136.19999999999999"/>
    <n v="123.3"/>
    <n v="134.30000000000001"/>
    <n v="141.5"/>
    <n v="128.80000000000001"/>
    <n v="132.5"/>
    <n v="138.5"/>
    <n v="137.03846153846155"/>
    <n v="153.30000000000001"/>
    <n v="147.80000000000001"/>
    <n v="141.30000000000001"/>
    <n v="142.4"/>
    <n v="134.35000000000002"/>
    <n v="136.19999999999999"/>
    <n v="123.3"/>
    <n v="137.9"/>
    <n v="132.5"/>
    <x v="0"/>
  </r>
  <r>
    <x v="1"/>
    <x v="5"/>
    <x v="1"/>
    <x v="6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32.91538461538462"/>
    <n v="159.30000000000001"/>
    <n v="134.69999999999999"/>
    <n v="141.30000000000001"/>
    <n v="127.3"/>
    <n v="128.05000000000001"/>
    <n v="129.80000000000001"/>
    <n v="117.4"/>
    <n v="131.85"/>
    <n v="126.5"/>
    <x v="0"/>
  </r>
  <r>
    <x v="2"/>
    <x v="5"/>
    <x v="1"/>
    <x v="6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35.4153846153846"/>
    <n v="154.9"/>
    <n v="142.6"/>
    <n v="141.30000000000001"/>
    <n v="136.69999999999999"/>
    <n v="131.44999999999999"/>
    <n v="133.80000000000001"/>
    <n v="120.2"/>
    <n v="134.44999999999999"/>
    <n v="129.6"/>
    <x v="0"/>
  </r>
  <r>
    <x v="0"/>
    <x v="5"/>
    <x v="2"/>
    <x v="6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n v="142.6"/>
    <n v="139.9"/>
    <n v="136.69999999999999"/>
    <n v="124.6"/>
    <n v="135.1"/>
    <n v="142.69999999999999"/>
    <n v="129.30000000000001"/>
    <n v="133.30000000000001"/>
    <n v="138.69999999999999"/>
    <n v="137.07692307692307"/>
    <n v="155.1"/>
    <n v="148.30000000000001"/>
    <n v="142"/>
    <n v="142.6"/>
    <n v="134.60000000000002"/>
    <n v="136.69999999999999"/>
    <n v="124.6"/>
    <n v="138.89999999999998"/>
    <n v="133.30000000000001"/>
    <x v="0"/>
  </r>
  <r>
    <x v="1"/>
    <x v="5"/>
    <x v="2"/>
    <x v="6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31.96153846153845"/>
    <n v="159.69999999999999"/>
    <n v="135.19999999999999"/>
    <n v="142"/>
    <n v="126.4"/>
    <n v="128.75"/>
    <n v="130.5"/>
    <n v="117.8"/>
    <n v="132.30000000000001"/>
    <n v="127.1"/>
    <x v="0"/>
  </r>
  <r>
    <x v="2"/>
    <x v="5"/>
    <x v="2"/>
    <x v="6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35.07692307692307"/>
    <n v="156.30000000000001"/>
    <n v="143.1"/>
    <n v="142"/>
    <n v="136.5"/>
    <n v="131.89999999999998"/>
    <n v="134.30000000000001"/>
    <n v="121"/>
    <n v="135.10000000000002"/>
    <n v="130.30000000000001"/>
    <x v="0"/>
  </r>
  <r>
    <x v="0"/>
    <x v="5"/>
    <x v="3"/>
    <x v="6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n v="143.80000000000001"/>
    <n v="140.9"/>
    <n v="137.6"/>
    <n v="125.3"/>
    <n v="136"/>
    <n v="143.69999999999999"/>
    <n v="130.4"/>
    <n v="134.19999999999999"/>
    <n v="139.1"/>
    <n v="136.92307692307693"/>
    <n v="156.1"/>
    <n v="149.1"/>
    <n v="142.9"/>
    <n v="143.80000000000001"/>
    <n v="135.65"/>
    <n v="137.6"/>
    <n v="125.3"/>
    <n v="139.85"/>
    <n v="134.19999999999999"/>
    <x v="0"/>
  </r>
  <r>
    <x v="1"/>
    <x v="5"/>
    <x v="3"/>
    <x v="6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32.30769230769232"/>
    <n v="159.19999999999999"/>
    <n v="136.19999999999999"/>
    <n v="142.9"/>
    <n v="124.6"/>
    <n v="129.69999999999999"/>
    <n v="131.30000000000001"/>
    <n v="118.9"/>
    <n v="133.64999999999998"/>
    <n v="128.19999999999999"/>
    <x v="0"/>
  </r>
  <r>
    <x v="2"/>
    <x v="5"/>
    <x v="3"/>
    <x v="6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35.16153846153847"/>
    <n v="156.9"/>
    <n v="144"/>
    <n v="142.9"/>
    <n v="136.5"/>
    <n v="132.89999999999998"/>
    <n v="135.19999999999999"/>
    <n v="121.9"/>
    <n v="136.35000000000002"/>
    <n v="131.30000000000001"/>
    <x v="0"/>
  </r>
  <r>
    <x v="0"/>
    <x v="5"/>
    <x v="4"/>
    <x v="6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n v="144.30000000000001"/>
    <n v="141.80000000000001"/>
    <n v="138.4"/>
    <n v="126.4"/>
    <n v="136.80000000000001"/>
    <n v="144.4"/>
    <n v="131.19999999999999"/>
    <n v="135.1"/>
    <n v="139.80000000000001"/>
    <n v="137.1076923076923"/>
    <n v="157"/>
    <n v="149.80000000000001"/>
    <n v="143.19999999999999"/>
    <n v="144.30000000000001"/>
    <n v="136.5"/>
    <n v="138.4"/>
    <n v="126.4"/>
    <n v="140.60000000000002"/>
    <n v="135.1"/>
    <x v="0"/>
  </r>
  <r>
    <x v="1"/>
    <x v="5"/>
    <x v="4"/>
    <x v="6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32.53076923076921"/>
    <n v="160.30000000000001"/>
    <n v="137"/>
    <n v="143.19999999999999"/>
    <n v="124.7"/>
    <n v="130.30000000000001"/>
    <n v="132"/>
    <n v="119.8"/>
    <n v="134.19999999999999"/>
    <n v="128.9"/>
    <x v="0"/>
  </r>
  <r>
    <x v="2"/>
    <x v="5"/>
    <x v="4"/>
    <x v="6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35.36923076923077"/>
    <n v="157.9"/>
    <n v="144.69999999999999"/>
    <n v="143.19999999999999"/>
    <n v="136.9"/>
    <n v="133.65"/>
    <n v="136"/>
    <n v="122.9"/>
    <n v="136.94999999999999"/>
    <n v="132.1"/>
    <x v="0"/>
  </r>
  <r>
    <x v="0"/>
    <x v="5"/>
    <x v="5"/>
    <x v="6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n v="145.1"/>
    <n v="142.19999999999999"/>
    <n v="138.4"/>
    <n v="127.4"/>
    <n v="137.80000000000001"/>
    <n v="145.1"/>
    <n v="131.4"/>
    <n v="135.6"/>
    <n v="140.5"/>
    <n v="137.71538461538461"/>
    <n v="157.30000000000001"/>
    <n v="150.30000000000001"/>
    <n v="142.5"/>
    <n v="145.1"/>
    <n v="136.80000000000001"/>
    <n v="138.4"/>
    <n v="127.4"/>
    <n v="141.44999999999999"/>
    <n v="135.6"/>
    <x v="0"/>
  </r>
  <r>
    <x v="1"/>
    <x v="5"/>
    <x v="5"/>
    <x v="6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34.40769230769232"/>
    <n v="161"/>
    <n v="137.4"/>
    <n v="142.5"/>
    <n v="126.5"/>
    <n v="130.64999999999998"/>
    <n v="132.6"/>
    <n v="120.4"/>
    <n v="134.85"/>
    <n v="129.5"/>
    <x v="0"/>
  </r>
  <r>
    <x v="2"/>
    <x v="5"/>
    <x v="5"/>
    <x v="6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36.46923076923079"/>
    <n v="158.30000000000001"/>
    <n v="145.19999999999999"/>
    <n v="142.5"/>
    <n v="138.1"/>
    <n v="134"/>
    <n v="136.19999999999999"/>
    <n v="123.7"/>
    <n v="137.69999999999999"/>
    <n v="132.6"/>
    <x v="0"/>
  </r>
  <r>
    <x v="0"/>
    <x v="5"/>
    <x v="6"/>
    <x v="6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n v="146.80000000000001"/>
    <n v="143.1"/>
    <n v="139"/>
    <n v="127.5"/>
    <n v="138.4"/>
    <n v="145.80000000000001"/>
    <n v="131.4"/>
    <n v="136"/>
    <n v="141.80000000000001"/>
    <n v="139.26923076923077"/>
    <n v="156.1"/>
    <n v="150.6"/>
    <n v="143.6"/>
    <n v="146.80000000000001"/>
    <n v="137.25"/>
    <n v="139"/>
    <n v="127.5"/>
    <n v="142.10000000000002"/>
    <n v="136"/>
    <x v="0"/>
  </r>
  <r>
    <x v="1"/>
    <x v="5"/>
    <x v="6"/>
    <x v="6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36.23846153846154"/>
    <n v="161.4"/>
    <n v="137.9"/>
    <n v="143.6"/>
    <n v="128.1"/>
    <n v="130.89999999999998"/>
    <n v="133.6"/>
    <n v="120.1"/>
    <n v="136.5"/>
    <n v="130.19999999999999"/>
    <x v="0"/>
  </r>
  <r>
    <x v="2"/>
    <x v="5"/>
    <x v="6"/>
    <x v="6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38.1"/>
    <n v="157.5"/>
    <n v="145.6"/>
    <n v="143.6"/>
    <n v="139.69999999999999"/>
    <n v="134.35"/>
    <n v="137"/>
    <n v="123.6"/>
    <n v="138.89999999999998"/>
    <n v="133.19999999999999"/>
    <x v="0"/>
  </r>
  <r>
    <x v="0"/>
    <x v="5"/>
    <x v="7"/>
    <x v="6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n v="147.69999999999999"/>
    <n v="143.80000000000001"/>
    <n v="139.4"/>
    <n v="128.30000000000001"/>
    <n v="138.6"/>
    <n v="146.9"/>
    <n v="131.30000000000001"/>
    <n v="136.6"/>
    <n v="142.5"/>
    <n v="139.90769230769232"/>
    <n v="156.4"/>
    <n v="151.30000000000001"/>
    <n v="144.6"/>
    <n v="147.69999999999999"/>
    <n v="137.55000000000001"/>
    <n v="139.4"/>
    <n v="128.30000000000001"/>
    <n v="142.75"/>
    <n v="136.6"/>
    <x v="0"/>
  </r>
  <r>
    <x v="1"/>
    <x v="5"/>
    <x v="7"/>
    <x v="6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35.96923076923076"/>
    <n v="162.1"/>
    <n v="138.30000000000001"/>
    <n v="144.6"/>
    <n v="129.80000000000001"/>
    <n v="131.35000000000002"/>
    <n v="134.9"/>
    <n v="120.7"/>
    <n v="137.55000000000001"/>
    <n v="131"/>
    <x v="0"/>
  </r>
  <r>
    <x v="2"/>
    <x v="5"/>
    <x v="7"/>
    <x v="6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38.36153846153849"/>
    <n v="157.9"/>
    <n v="146.1"/>
    <n v="144.6"/>
    <n v="140.9"/>
    <n v="134.75"/>
    <n v="137.69999999999999"/>
    <n v="124.3"/>
    <n v="139.80000000000001"/>
    <n v="133.9"/>
    <x v="0"/>
  </r>
  <r>
    <x v="0"/>
    <x v="5"/>
    <x v="8"/>
    <x v="6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n v="149"/>
    <n v="144"/>
    <n v="140"/>
    <n v="129.9"/>
    <n v="140"/>
    <n v="147.6"/>
    <n v="132"/>
    <n v="137.4"/>
    <n v="142.1"/>
    <n v="138.44615384615386"/>
    <n v="157.69999999999999"/>
    <n v="151.30000000000001"/>
    <n v="145.30000000000001"/>
    <n v="149"/>
    <n v="138"/>
    <n v="140"/>
    <n v="129.9"/>
    <n v="143.80000000000001"/>
    <n v="137.4"/>
    <x v="0"/>
  </r>
  <r>
    <x v="1"/>
    <x v="5"/>
    <x v="8"/>
    <x v="6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34.49230769230769"/>
    <n v="163.30000000000001"/>
    <n v="139.1"/>
    <n v="145.30000000000001"/>
    <n v="131.19999999999999"/>
    <n v="132.10000000000002"/>
    <n v="135.69999999999999"/>
    <n v="122.5"/>
    <n v="137.69999999999999"/>
    <n v="131.9"/>
    <x v="0"/>
  </r>
  <r>
    <x v="2"/>
    <x v="5"/>
    <x v="8"/>
    <x v="6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36.88461538461539"/>
    <n v="159.19999999999999"/>
    <n v="146.5"/>
    <n v="145.30000000000001"/>
    <n v="142.30000000000001"/>
    <n v="135.30000000000001"/>
    <n v="138.4"/>
    <n v="126"/>
    <n v="140.35"/>
    <n v="134.69999999999999"/>
    <x v="0"/>
  </r>
  <r>
    <x v="0"/>
    <x v="5"/>
    <x v="9"/>
    <x v="6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6.30000000000001"/>
    <n v="149.69999999999999"/>
    <n v="147.5"/>
    <n v="144.80000000000001"/>
    <n v="130.80000000000001"/>
    <n v="140.1"/>
    <n v="148"/>
    <n v="134.4"/>
    <n v="139.80000000000001"/>
    <n v="142.19999999999999"/>
    <n v="137.09230769230768"/>
    <n v="159.6"/>
    <n v="149.80000000000001"/>
    <n v="146.30000000000001"/>
    <n v="149.69999999999999"/>
    <n v="140.94999999999999"/>
    <n v="144.80000000000001"/>
    <n v="130.80000000000001"/>
    <n v="144.05000000000001"/>
    <n v="139.80000000000001"/>
    <x v="0"/>
  </r>
  <r>
    <x v="1"/>
    <x v="5"/>
    <x v="9"/>
    <x v="6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9"/>
    <n v="133.4"/>
    <n v="135.1"/>
    <n v="136.19999999999999"/>
    <n v="123.3"/>
    <n v="130.69999999999999"/>
    <n v="145.5"/>
    <n v="130.4"/>
    <n v="132.5"/>
    <n v="138.9"/>
    <n v="134.93076923076922"/>
    <n v="164"/>
    <n v="139.69999999999999"/>
    <n v="146.9"/>
    <n v="133.4"/>
    <n v="132.75"/>
    <n v="136.19999999999999"/>
    <n v="123.3"/>
    <n v="138.1"/>
    <n v="132.5"/>
    <x v="0"/>
  </r>
  <r>
    <x v="2"/>
    <x v="5"/>
    <x v="9"/>
    <x v="6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36.63076923076923"/>
    <n v="162.6"/>
    <n v="146.80000000000001"/>
    <n v="146.9"/>
    <n v="145.30000000000001"/>
    <n v="137.1"/>
    <n v="142.1"/>
    <n v="125.5"/>
    <n v="142.15"/>
    <n v="136.30000000000001"/>
    <x v="0"/>
  </r>
  <r>
    <x v="0"/>
    <x v="5"/>
    <x v="10"/>
    <x v="7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n v="150.30000000000001"/>
    <n v="148"/>
    <n v="145.4"/>
    <n v="130.30000000000001"/>
    <n v="143.1"/>
    <n v="150.19999999999999"/>
    <n v="133.1"/>
    <n v="140.1"/>
    <n v="142.4"/>
    <n v="137.49999999999997"/>
    <n v="161.9"/>
    <n v="150.80000000000001"/>
    <n v="146.9"/>
    <n v="150.30000000000001"/>
    <n v="140.55000000000001"/>
    <n v="145.4"/>
    <n v="130.30000000000001"/>
    <n v="146.64999999999998"/>
    <n v="140.1"/>
    <x v="0"/>
  </r>
  <r>
    <x v="1"/>
    <x v="5"/>
    <x v="10"/>
    <x v="7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35.19230769230768"/>
    <n v="164.4"/>
    <n v="140.5"/>
    <n v="146.9"/>
    <n v="136.69999999999999"/>
    <n v="133.15"/>
    <n v="136.80000000000001"/>
    <n v="121.2"/>
    <n v="138.69999999999999"/>
    <n v="132.19999999999999"/>
    <x v="0"/>
  </r>
  <r>
    <x v="2"/>
    <x v="5"/>
    <x v="10"/>
    <x v="7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36.59230769230771"/>
    <n v="162.6"/>
    <n v="146.69999999999999"/>
    <n v="146.9"/>
    <n v="145.1"/>
    <n v="137.1"/>
    <n v="142.1"/>
    <n v="125.5"/>
    <n v="142.15"/>
    <n v="136.30000000000001"/>
    <x v="0"/>
  </r>
  <r>
    <x v="0"/>
    <x v="5"/>
    <x v="11"/>
    <x v="7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n v="149"/>
    <n v="149.5"/>
    <n v="149.6"/>
    <n v="128.9"/>
    <n v="143.30000000000001"/>
    <n v="155.1"/>
    <n v="133.19999999999999"/>
    <n v="141.6"/>
    <n v="141.9"/>
    <n v="136.3923076923077"/>
    <n v="162.4"/>
    <n v="150.80000000000001"/>
    <n v="146.5"/>
    <n v="149"/>
    <n v="141.35"/>
    <n v="149.6"/>
    <n v="128.9"/>
    <n v="149.19999999999999"/>
    <n v="141.6"/>
    <x v="0"/>
  </r>
  <r>
    <x v="1"/>
    <x v="5"/>
    <x v="11"/>
    <x v="7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34.35384615384615"/>
    <n v="164.6"/>
    <n v="140.80000000000001"/>
    <n v="146.5"/>
    <n v="132.4"/>
    <n v="133.5"/>
    <n v="137.30000000000001"/>
    <n v="118.8"/>
    <n v="139.1"/>
    <n v="131.69999999999999"/>
    <x v="0"/>
  </r>
  <r>
    <x v="2"/>
    <x v="5"/>
    <x v="11"/>
    <x v="7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35.59999999999997"/>
    <n v="163"/>
    <n v="146.80000000000001"/>
    <n v="146.5"/>
    <n v="142.69999999999999"/>
    <n v="137.69999999999999"/>
    <n v="144.9"/>
    <n v="123.6"/>
    <n v="143.44999999999999"/>
    <n v="136.80000000000001"/>
    <x v="0"/>
  </r>
  <r>
    <x v="0"/>
    <x v="6"/>
    <x v="0"/>
    <x v="72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n v="146.19999999999999"/>
    <n v="150.1"/>
    <n v="149.6"/>
    <n v="128.6"/>
    <n v="142.9"/>
    <n v="155.19999999999999"/>
    <n v="133.5"/>
    <n v="141.69999999999999"/>
    <n v="141"/>
    <n v="135.35384615384618"/>
    <n v="162.69999999999999"/>
    <n v="149.9"/>
    <n v="147.69999999999999"/>
    <n v="146.19999999999999"/>
    <n v="141.80000000000001"/>
    <n v="149.6"/>
    <n v="128.6"/>
    <n v="149.05000000000001"/>
    <n v="141.69999999999999"/>
    <x v="0"/>
  </r>
  <r>
    <x v="1"/>
    <x v="6"/>
    <x v="0"/>
    <x v="72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34.17692307692309"/>
    <n v="164.7"/>
    <n v="141.1"/>
    <n v="147.69999999999999"/>
    <n v="128.6"/>
    <n v="134"/>
    <n v="137.80000000000001"/>
    <n v="118.6"/>
    <n v="139.25"/>
    <n v="131.80000000000001"/>
    <x v="0"/>
  </r>
  <r>
    <x v="2"/>
    <x v="6"/>
    <x v="0"/>
    <x v="72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34.87692307692308"/>
    <n v="163.19999999999999"/>
    <n v="146.4"/>
    <n v="147.69999999999999"/>
    <n v="139.5"/>
    <n v="138.19999999999999"/>
    <n v="145.1"/>
    <n v="123.3"/>
    <n v="143.44999999999999"/>
    <n v="136.9"/>
    <x v="0"/>
  </r>
  <r>
    <x v="0"/>
    <x v="6"/>
    <x v="1"/>
    <x v="73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n v="145.30000000000001"/>
    <n v="150.1"/>
    <n v="149.9"/>
    <n v="129.19999999999999"/>
    <n v="143.4"/>
    <n v="155.5"/>
    <n v="134.9"/>
    <n v="142.19999999999999"/>
    <n v="141"/>
    <n v="135.3692307692308"/>
    <n v="162.80000000000001"/>
    <n v="149.9"/>
    <n v="148.5"/>
    <n v="145.30000000000001"/>
    <n v="142.5"/>
    <n v="149.9"/>
    <n v="129.19999999999999"/>
    <n v="149.44999999999999"/>
    <n v="142.19999999999999"/>
    <x v="0"/>
  </r>
  <r>
    <x v="1"/>
    <x v="6"/>
    <x v="1"/>
    <x v="73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34.95384615384617"/>
    <n v="164.9"/>
    <n v="141.4"/>
    <n v="148.5"/>
    <n v="127.1"/>
    <n v="134.80000000000001"/>
    <n v="138.5"/>
    <n v="119.2"/>
    <n v="139.39999999999998"/>
    <n v="132.4"/>
    <x v="0"/>
  </r>
  <r>
    <x v="2"/>
    <x v="6"/>
    <x v="1"/>
    <x v="73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35.16153846153844"/>
    <n v="163.4"/>
    <n v="146.5"/>
    <n v="148.5"/>
    <n v="138.4"/>
    <n v="138.89999999999998"/>
    <n v="145.6"/>
    <n v="123.9"/>
    <n v="143.69999999999999"/>
    <n v="137.4"/>
    <x v="0"/>
  </r>
  <r>
    <x v="0"/>
    <x v="6"/>
    <x v="2"/>
    <x v="74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n v="146.4"/>
    <n v="150"/>
    <n v="150.4"/>
    <n v="129.9"/>
    <n v="143.80000000000001"/>
    <n v="155.5"/>
    <n v="134"/>
    <n v="142.4"/>
    <n v="141.19999999999999"/>
    <n v="135.4769230769231"/>
    <n v="162.9"/>
    <n v="150.1"/>
    <n v="149"/>
    <n v="146.4"/>
    <n v="142"/>
    <n v="150.4"/>
    <n v="129.9"/>
    <n v="149.65"/>
    <n v="142.4"/>
    <x v="0"/>
  </r>
  <r>
    <x v="1"/>
    <x v="6"/>
    <x v="2"/>
    <x v="74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36.03076923076924"/>
    <n v="165.3"/>
    <n v="141.6"/>
    <n v="149"/>
    <n v="128.80000000000001"/>
    <n v="134.65"/>
    <n v="139.19999999999999"/>
    <n v="119.9"/>
    <n v="139.85"/>
    <n v="132.80000000000001"/>
    <x v="0"/>
  </r>
  <r>
    <x v="2"/>
    <x v="6"/>
    <x v="2"/>
    <x v="74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35.6076923076923"/>
    <n v="163.5"/>
    <n v="146.69999999999999"/>
    <n v="149"/>
    <n v="139.69999999999999"/>
    <n v="138.60000000000002"/>
    <n v="146.19999999999999"/>
    <n v="124.6"/>
    <n v="144"/>
    <n v="137.69999999999999"/>
    <x v="0"/>
  </r>
  <r>
    <x v="0"/>
    <x v="6"/>
    <x v="4"/>
    <x v="75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n v="146.9"/>
    <n v="149.5"/>
    <n v="151.30000000000001"/>
    <n v="130.19999999999999"/>
    <n v="145.9"/>
    <n v="156.69999999999999"/>
    <n v="133.9"/>
    <n v="142.9"/>
    <n v="142.4"/>
    <n v="137.0846153846154"/>
    <n v="163.30000000000001"/>
    <n v="150.69999999999999"/>
    <n v="150.1"/>
    <n v="146.9"/>
    <n v="141.69999999999999"/>
    <n v="151.30000000000001"/>
    <n v="130.19999999999999"/>
    <n v="151.30000000000001"/>
    <n v="142.9"/>
    <x v="0"/>
  </r>
  <r>
    <x v="1"/>
    <x v="6"/>
    <x v="4"/>
    <x v="75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39.34615384615387"/>
    <n v="166.2"/>
    <n v="142.19999999999999"/>
    <n v="150.1"/>
    <n v="129.4"/>
    <n v="134.89999999999998"/>
    <n v="139.80000000000001"/>
    <n v="120.1"/>
    <n v="141"/>
    <n v="133.30000000000001"/>
    <x v="0"/>
  </r>
  <r>
    <x v="2"/>
    <x v="6"/>
    <x v="4"/>
    <x v="75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37.83846153846156"/>
    <n v="164.1"/>
    <n v="147.30000000000001"/>
    <n v="150.1"/>
    <n v="140.30000000000001"/>
    <n v="138.55000000000001"/>
    <n v="146.9"/>
    <n v="124.9"/>
    <n v="145.39999999999998"/>
    <n v="138.19999999999999"/>
    <x v="0"/>
  </r>
  <r>
    <x v="0"/>
    <x v="6"/>
    <x v="5"/>
    <x v="76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n v="147.80000000000001"/>
    <n v="149.6"/>
    <n v="151.69999999999999"/>
    <n v="130.19999999999999"/>
    <n v="146.4"/>
    <n v="157.69999999999999"/>
    <n v="134.80000000000001"/>
    <n v="143.30000000000001"/>
    <n v="143.6"/>
    <n v="138.78461538461536"/>
    <n v="164.2"/>
    <n v="150.69999999999999"/>
    <n v="149.4"/>
    <n v="147.80000000000001"/>
    <n v="142.19999999999999"/>
    <n v="151.69999999999999"/>
    <n v="130.19999999999999"/>
    <n v="152.05000000000001"/>
    <n v="143.30000000000001"/>
    <x v="0"/>
  </r>
  <r>
    <x v="1"/>
    <x v="6"/>
    <x v="5"/>
    <x v="76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41.0230769230769"/>
    <n v="166.7"/>
    <n v="142.4"/>
    <n v="149.4"/>
    <n v="130.5"/>
    <n v="135.55000000000001"/>
    <n v="140.30000000000001"/>
    <n v="119.6"/>
    <n v="141.60000000000002"/>
    <n v="133.6"/>
    <x v="0"/>
  </r>
  <r>
    <x v="2"/>
    <x v="6"/>
    <x v="5"/>
    <x v="76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39.54615384615386"/>
    <n v="164.9"/>
    <n v="147.4"/>
    <n v="149.4"/>
    <n v="141.19999999999999"/>
    <n v="139.05000000000001"/>
    <n v="147.4"/>
    <n v="124.6"/>
    <n v="146.05000000000001"/>
    <n v="138.6"/>
    <x v="0"/>
  </r>
  <r>
    <x v="0"/>
    <x v="6"/>
    <x v="6"/>
    <x v="77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n v="146.80000000000001"/>
    <n v="150"/>
    <n v="152.19999999999999"/>
    <n v="131.19999999999999"/>
    <n v="147.5"/>
    <n v="159.1"/>
    <n v="136.1"/>
    <n v="144.19999999999999"/>
    <n v="144.9"/>
    <n v="140.53076923076921"/>
    <n v="164.5"/>
    <n v="150.9"/>
    <n v="150.6"/>
    <n v="146.80000000000001"/>
    <n v="143.05000000000001"/>
    <n v="152.19999999999999"/>
    <n v="131.19999999999999"/>
    <n v="153.30000000000001"/>
    <n v="144.19999999999999"/>
    <x v="0"/>
  </r>
  <r>
    <x v="1"/>
    <x v="6"/>
    <x v="6"/>
    <x v="77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42.87692307692308"/>
    <n v="167.2"/>
    <n v="142.69999999999999"/>
    <n v="150.6"/>
    <n v="127"/>
    <n v="136.39999999999998"/>
    <n v="140.80000000000001"/>
    <n v="120.6"/>
    <n v="142.69999999999999"/>
    <n v="134.5"/>
    <x v="0"/>
  </r>
  <r>
    <x v="2"/>
    <x v="6"/>
    <x v="6"/>
    <x v="77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41.34615384615384"/>
    <n v="165.2"/>
    <n v="147.6"/>
    <n v="150.6"/>
    <n v="139.30000000000001"/>
    <n v="139.94999999999999"/>
    <n v="147.9"/>
    <n v="125.6"/>
    <n v="147.25"/>
    <n v="139.5"/>
    <x v="0"/>
  </r>
  <r>
    <x v="0"/>
    <x v="6"/>
    <x v="7"/>
    <x v="78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n v="146.4"/>
    <n v="150.19999999999999"/>
    <n v="152.69999999999999"/>
    <n v="131.4"/>
    <n v="148"/>
    <n v="159.69999999999999"/>
    <n v="138.80000000000001"/>
    <n v="144.9"/>
    <n v="145.69999999999999"/>
    <n v="141.11538461538464"/>
    <n v="165.1"/>
    <n v="151.1"/>
    <n v="151.6"/>
    <n v="146.4"/>
    <n v="144.5"/>
    <n v="152.69999999999999"/>
    <n v="131.4"/>
    <n v="153.85"/>
    <n v="144.9"/>
    <x v="0"/>
  </r>
  <r>
    <x v="1"/>
    <x v="6"/>
    <x v="7"/>
    <x v="78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43.77692307692308"/>
    <n v="167.9"/>
    <n v="143"/>
    <n v="151.6"/>
    <n v="125.5"/>
    <n v="137.94999999999999"/>
    <n v="141.5"/>
    <n v="120.8"/>
    <n v="143.44999999999999"/>
    <n v="135.30000000000001"/>
    <x v="0"/>
  </r>
  <r>
    <x v="2"/>
    <x v="6"/>
    <x v="7"/>
    <x v="78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42.03846153846155"/>
    <n v="165.8"/>
    <n v="147.9"/>
    <n v="151.6"/>
    <n v="138.5"/>
    <n v="141.44999999999999"/>
    <n v="148.5"/>
    <n v="125.8"/>
    <n v="147.9"/>
    <n v="140.19999999999999"/>
    <x v="0"/>
  </r>
  <r>
    <x v="0"/>
    <x v="6"/>
    <x v="8"/>
    <x v="79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n v="146.9"/>
    <n v="150.30000000000001"/>
    <n v="153.4"/>
    <n v="131.6"/>
    <n v="148.30000000000001"/>
    <n v="160.19999999999999"/>
    <n v="140.19999999999999"/>
    <n v="145.4"/>
    <n v="146.69999999999999"/>
    <n v="142.2076923076923"/>
    <n v="165.7"/>
    <n v="151"/>
    <n v="152.19999999999999"/>
    <n v="146.9"/>
    <n v="145.25"/>
    <n v="153.4"/>
    <n v="131.6"/>
    <n v="154.25"/>
    <n v="145.4"/>
    <x v="0"/>
  </r>
  <r>
    <x v="1"/>
    <x v="6"/>
    <x v="8"/>
    <x v="7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44.22307692307692"/>
    <n v="168.6"/>
    <n v="143.30000000000001"/>
    <n v="152.19999999999999"/>
    <n v="126.6"/>
    <n v="138.65"/>
    <n v="141.9"/>
    <n v="121.2"/>
    <n v="143.75"/>
    <n v="135.69999999999999"/>
    <x v="0"/>
  </r>
  <r>
    <x v="2"/>
    <x v="6"/>
    <x v="8"/>
    <x v="79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42.89999999999998"/>
    <n v="166.5"/>
    <n v="147.9"/>
    <n v="152.19999999999999"/>
    <n v="139.19999999999999"/>
    <n v="142.14999999999998"/>
    <n v="149"/>
    <n v="126.1"/>
    <n v="148.25"/>
    <n v="140.69999999999999"/>
    <x v="0"/>
  </r>
  <r>
    <x v="0"/>
    <x v="6"/>
    <x v="9"/>
    <x v="80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44.37692307692305"/>
    <n v="166.3"/>
    <n v="151"/>
    <n v="153"/>
    <n v="147.69999999999999"/>
    <n v="145.44999999999999"/>
    <n v="153.69999999999999"/>
    <n v="131.69999999999999"/>
    <n v="154.69999999999999"/>
    <n v="145.69999999999999"/>
    <x v="0"/>
  </r>
  <r>
    <x v="1"/>
    <x v="6"/>
    <x v="9"/>
    <x v="80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46.35384615384618"/>
    <n v="169.3"/>
    <n v="143.9"/>
    <n v="153"/>
    <n v="128.9"/>
    <n v="139.1"/>
    <n v="142.4"/>
    <n v="121.5"/>
    <n v="143.94999999999999"/>
    <n v="136"/>
    <x v="0"/>
  </r>
  <r>
    <x v="2"/>
    <x v="6"/>
    <x v="9"/>
    <x v="80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45.04615384615383"/>
    <n v="167.1"/>
    <n v="148.19999999999999"/>
    <n v="153"/>
    <n v="140.6"/>
    <n v="142.5"/>
    <n v="149.4"/>
    <n v="126.3"/>
    <n v="148.55000000000001"/>
    <n v="141"/>
    <x v="0"/>
  </r>
  <r>
    <x v="0"/>
    <x v="6"/>
    <x v="10"/>
    <x v="8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n v="148.4"/>
    <n v="150.9"/>
    <n v="154.30000000000001"/>
    <n v="132.1"/>
    <n v="149.1"/>
    <n v="160.80000000000001"/>
    <n v="140.6"/>
    <n v="146.1"/>
    <n v="149.9"/>
    <n v="146.50769230769231"/>
    <n v="167.2"/>
    <n v="151.5"/>
    <n v="153.5"/>
    <n v="148.4"/>
    <n v="145.75"/>
    <n v="154.30000000000001"/>
    <n v="132.1"/>
    <n v="154.94999999999999"/>
    <n v="146.1"/>
    <x v="0"/>
  </r>
  <r>
    <x v="1"/>
    <x v="6"/>
    <x v="10"/>
    <x v="8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47.99999999999997"/>
    <n v="169.9"/>
    <n v="144.19999999999999"/>
    <n v="153.5"/>
    <n v="132.19999999999999"/>
    <n v="139.44999999999999"/>
    <n v="142.80000000000001"/>
    <n v="121.7"/>
    <n v="144.25"/>
    <n v="136.30000000000001"/>
    <x v="0"/>
  </r>
  <r>
    <x v="2"/>
    <x v="6"/>
    <x v="10"/>
    <x v="8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46.99230769230769"/>
    <n v="167.9"/>
    <n v="148.6"/>
    <n v="153.5"/>
    <n v="142.30000000000001"/>
    <n v="142.80000000000001"/>
    <n v="149.9"/>
    <n v="126.6"/>
    <n v="148.80000000000001"/>
    <n v="141.30000000000001"/>
    <x v="0"/>
  </r>
  <r>
    <x v="0"/>
    <x v="6"/>
    <x v="11"/>
    <x v="8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n v="149.9"/>
    <n v="151.19999999999999"/>
    <n v="154.80000000000001"/>
    <n v="135"/>
    <n v="149.5"/>
    <n v="161.1"/>
    <n v="140.6"/>
    <n v="147.1"/>
    <n v="152.30000000000001"/>
    <n v="149.30769230769226"/>
    <n v="167.8"/>
    <n v="151.9"/>
    <n v="152.80000000000001"/>
    <n v="149.9"/>
    <n v="145.89999999999998"/>
    <n v="154.80000000000001"/>
    <n v="135"/>
    <n v="155.30000000000001"/>
    <n v="147.1"/>
    <x v="0"/>
  </r>
  <r>
    <x v="1"/>
    <x v="6"/>
    <x v="11"/>
    <x v="8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50.51538461538462"/>
    <n v="170.4"/>
    <n v="144.6"/>
    <n v="152.80000000000001"/>
    <n v="133.6"/>
    <n v="140"/>
    <n v="143.19999999999999"/>
    <n v="125.2"/>
    <n v="144.35000000000002"/>
    <n v="137.69999999999999"/>
    <x v="0"/>
  </r>
  <r>
    <x v="2"/>
    <x v="6"/>
    <x v="11"/>
    <x v="8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49.70000000000002"/>
    <n v="168.5"/>
    <n v="149"/>
    <n v="152.80000000000001"/>
    <n v="143.69999999999999"/>
    <n v="143.10000000000002"/>
    <n v="150.4"/>
    <n v="129.80000000000001"/>
    <n v="149"/>
    <n v="142.5"/>
    <x v="0"/>
  </r>
  <r>
    <x v="0"/>
    <x v="7"/>
    <x v="0"/>
    <x v="83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n v="150.4"/>
    <n v="151.69999999999999"/>
    <n v="155.69999999999999"/>
    <n v="136.30000000000001"/>
    <n v="150.1"/>
    <n v="161.69999999999999"/>
    <n v="142.5"/>
    <n v="148.1"/>
    <n v="151.9"/>
    <n v="149.12307692307692"/>
    <n v="168.6"/>
    <n v="152.1"/>
    <n v="153.9"/>
    <n v="150.4"/>
    <n v="147.1"/>
    <n v="155.69999999999999"/>
    <n v="136.30000000000001"/>
    <n v="155.89999999999998"/>
    <n v="148.1"/>
    <x v="0"/>
  </r>
  <r>
    <x v="1"/>
    <x v="7"/>
    <x v="0"/>
    <x v="83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49.64615384615382"/>
    <n v="170.8"/>
    <n v="144.9"/>
    <n v="153.9"/>
    <n v="135.1"/>
    <n v="141.1"/>
    <n v="143.80000000000001"/>
    <n v="126.1"/>
    <n v="144.64999999999998"/>
    <n v="138.4"/>
    <x v="0"/>
  </r>
  <r>
    <x v="2"/>
    <x v="7"/>
    <x v="0"/>
    <x v="83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49.26153846153846"/>
    <n v="169.2"/>
    <n v="149.19999999999999"/>
    <n v="153.9"/>
    <n v="144.6"/>
    <n v="144.25"/>
    <n v="151.19999999999999"/>
    <n v="130.9"/>
    <n v="149.44999999999999"/>
    <n v="143.4"/>
    <x v="0"/>
  </r>
  <r>
    <x v="0"/>
    <x v="7"/>
    <x v="1"/>
    <x v="84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n v="152.30000000000001"/>
    <n v="151.80000000000001"/>
    <n v="156.19999999999999"/>
    <n v="136"/>
    <n v="150.4"/>
    <n v="161.9"/>
    <n v="143.4"/>
    <n v="148.4"/>
    <n v="150.4"/>
    <n v="146.90769230769229"/>
    <n v="169.4"/>
    <n v="152.30000000000001"/>
    <n v="154.80000000000001"/>
    <n v="152.30000000000001"/>
    <n v="147.60000000000002"/>
    <n v="156.19999999999999"/>
    <n v="136"/>
    <n v="156.15"/>
    <n v="148.4"/>
    <x v="0"/>
  </r>
  <r>
    <x v="1"/>
    <x v="7"/>
    <x v="1"/>
    <x v="84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47.43076923076922"/>
    <n v="172"/>
    <n v="145.19999999999999"/>
    <n v="154.80000000000001"/>
    <n v="138.9"/>
    <n v="141.94999999999999"/>
    <n v="144.4"/>
    <n v="125.2"/>
    <n v="144.94999999999999"/>
    <n v="138.4"/>
    <x v="0"/>
  </r>
  <r>
    <x v="2"/>
    <x v="7"/>
    <x v="1"/>
    <x v="84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47.04615384615383"/>
    <n v="170.1"/>
    <n v="149.5"/>
    <n v="154.80000000000001"/>
    <n v="147.19999999999999"/>
    <n v="144.9"/>
    <n v="151.69999999999999"/>
    <n v="130.30000000000001"/>
    <n v="149.69999999999999"/>
    <n v="143.6"/>
    <x v="0"/>
  </r>
  <r>
    <x v="0"/>
    <x v="7"/>
    <x v="2"/>
    <x v="85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n v="153.4"/>
    <n v="151.5"/>
    <n v="156.69999999999999"/>
    <n v="135.80000000000001"/>
    <n v="151.19999999999999"/>
    <n v="161.19999999999999"/>
    <n v="145.1"/>
    <n v="148.6"/>
    <n v="149.80000000000001"/>
    <n v="145.73846153846151"/>
    <n v="170.5"/>
    <n v="152.5"/>
    <n v="154.5"/>
    <n v="153.4"/>
    <n v="148.30000000000001"/>
    <n v="156.69999999999999"/>
    <n v="135.80000000000001"/>
    <n v="156.19999999999999"/>
    <n v="148.6"/>
    <x v="1"/>
  </r>
  <r>
    <x v="1"/>
    <x v="7"/>
    <x v="2"/>
    <x v="85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46.03846153846155"/>
    <n v="173.3"/>
    <n v="145.6"/>
    <n v="154.5"/>
    <n v="141.4"/>
    <n v="143.05000000000001"/>
    <n v="145"/>
    <n v="124.6"/>
    <n v="145.19999999999999"/>
    <n v="138.69999999999999"/>
    <x v="1"/>
  </r>
  <r>
    <x v="2"/>
    <x v="7"/>
    <x v="2"/>
    <x v="85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45.80000000000001"/>
    <n v="171.2"/>
    <n v="149.80000000000001"/>
    <n v="154.5"/>
    <n v="148.9"/>
    <n v="145.80000000000001"/>
    <n v="152.30000000000001"/>
    <n v="129.9"/>
    <n v="149.89999999999998"/>
    <n v="143.80000000000001"/>
    <x v="1"/>
  </r>
  <r>
    <x v="0"/>
    <x v="7"/>
    <x v="3"/>
    <x v="86"/>
    <n v="147.19999999999999"/>
    <n v="174.63"/>
    <n v="146.9"/>
    <n v="155.6"/>
    <n v="137.1"/>
    <n v="147.30000000000001"/>
    <n v="162.69999999999999"/>
    <n v="150.19999999999999"/>
    <n v="119.8"/>
    <n v="158.69999999999999"/>
    <n v="139.19999999999999"/>
    <n v="160.6"/>
    <n v="150.1"/>
    <n v="174.47"/>
    <n v="153.83000000000001"/>
    <n v="148.4"/>
    <n v="153.03"/>
    <n v="155.6"/>
    <n v="148.4"/>
    <n v="151.57"/>
    <n v="154.30000000000001"/>
    <n v="137.66999999999999"/>
    <n v="151.87"/>
    <n v="161.4"/>
    <n v="147.13333333333333"/>
    <n v="149.63333333333333"/>
    <n v="150.76666666666668"/>
    <n v="150.00230769230768"/>
    <n v="174.47"/>
    <n v="153.03"/>
    <n v="155.6"/>
    <n v="148.4"/>
    <n v="149.35166666666666"/>
    <n v="154.30000000000001"/>
    <n v="137.66999999999999"/>
    <n v="156.63499999999999"/>
    <n v="149.63333333333333"/>
    <x v="2"/>
  </r>
  <r>
    <x v="1"/>
    <x v="7"/>
    <x v="3"/>
    <x v="86"/>
    <n v="151.80000000000001"/>
    <n v="177.33"/>
    <n v="151.9"/>
    <n v="155.5"/>
    <n v="131.6"/>
    <n v="152.9"/>
    <n v="180"/>
    <n v="150.80000000000001"/>
    <n v="121.2"/>
    <n v="154"/>
    <n v="133.5"/>
    <n v="159.97"/>
    <n v="153.5"/>
    <n v="177.77"/>
    <n v="148.16999999999999"/>
    <n v="134.72999999999999"/>
    <n v="146.13"/>
    <n v="155.6"/>
    <n v="137.1"/>
    <n v="140.66999999999999"/>
    <n v="144.80000000000001"/>
    <n v="126.17"/>
    <n v="140.1"/>
    <n v="152.5"/>
    <n v="147.6"/>
    <n v="139.79999999999998"/>
    <n v="148.46666666666667"/>
    <n v="151.84615384615384"/>
    <n v="177.77"/>
    <n v="146.13"/>
    <n v="155.6"/>
    <n v="137.1"/>
    <n v="144.13499999999999"/>
    <n v="144.80000000000001"/>
    <n v="126.17"/>
    <n v="146.30000000000001"/>
    <n v="139.79999999999998"/>
    <x v="2"/>
  </r>
  <r>
    <x v="2"/>
    <x v="7"/>
    <x v="3"/>
    <x v="86"/>
    <n v="148.69999999999999"/>
    <n v="175.57"/>
    <n v="148.80000000000001"/>
    <n v="155.6"/>
    <n v="135.1"/>
    <n v="149.9"/>
    <n v="168.6"/>
    <n v="150.4"/>
    <n v="120.3"/>
    <n v="157.1"/>
    <n v="136.80000000000001"/>
    <n v="160.33000000000001"/>
    <n v="151.4"/>
    <n v="175.3"/>
    <n v="151.63"/>
    <n v="142.72999999999999"/>
    <n v="150.33000000000001"/>
    <n v="155.6"/>
    <n v="144.1"/>
    <n v="146.4"/>
    <n v="150.69999999999999"/>
    <n v="131.6"/>
    <n v="145.22999999999999"/>
    <n v="156.19999999999999"/>
    <n v="147.33333333333331"/>
    <n v="144.86666666666667"/>
    <n v="149.66666666666666"/>
    <n v="150.66153846153844"/>
    <n v="175.3"/>
    <n v="150.33000000000001"/>
    <n v="155.6"/>
    <n v="144.1"/>
    <n v="146.86666666666667"/>
    <n v="150.69999999999999"/>
    <n v="131.6"/>
    <n v="150.71499999999997"/>
    <n v="144.86666666666667"/>
    <x v="2"/>
  </r>
  <r>
    <x v="0"/>
    <x v="7"/>
    <x v="4"/>
    <x v="87"/>
    <n v="147.69999999999999"/>
    <n v="182.47"/>
    <n v="148.15"/>
    <n v="154.44999999999999"/>
    <n v="137.65"/>
    <n v="145.25"/>
    <n v="155.80000000000001"/>
    <n v="150.25"/>
    <n v="116.5"/>
    <n v="159.25"/>
    <n v="140.65"/>
    <n v="161.19999999999999"/>
    <n v="151.19999999999999"/>
    <n v="178.43"/>
    <n v="154.27000000000001"/>
    <n v="149.19999999999999"/>
    <n v="153.57"/>
    <n v="155.15"/>
    <n v="146.65"/>
    <n v="151.63"/>
    <n v="156.25"/>
    <n v="139.53"/>
    <n v="154.07"/>
    <n v="161.6"/>
    <n v="149.16666666666666"/>
    <n v="150.66666666666666"/>
    <n v="151.73333333333335"/>
    <n v="150.04000000000002"/>
    <n v="178.43"/>
    <n v="153.57"/>
    <n v="155.15"/>
    <n v="146.65"/>
    <n v="150.39833333333331"/>
    <n v="156.25"/>
    <n v="139.53"/>
    <n v="157.83499999999998"/>
    <n v="150.66666666666666"/>
    <x v="2"/>
  </r>
  <r>
    <x v="1"/>
    <x v="7"/>
    <x v="4"/>
    <x v="87"/>
    <n v="152.25"/>
    <n v="187.17"/>
    <n v="153.25"/>
    <n v="154.44999999999999"/>
    <n v="132.25"/>
    <n v="152.35"/>
    <n v="175.6"/>
    <n v="151.4"/>
    <n v="118.75"/>
    <n v="156.4"/>
    <n v="134.55000000000001"/>
    <n v="160.83000000000001"/>
    <n v="155.25"/>
    <n v="182.23"/>
    <n v="148.63"/>
    <n v="135.66999999999999"/>
    <n v="146.66999999999999"/>
    <n v="155.15"/>
    <n v="137.1"/>
    <n v="140.53"/>
    <n v="146.44999999999999"/>
    <n v="127.73"/>
    <n v="142.30000000000001"/>
    <n v="152.5"/>
    <n v="149.89999999999998"/>
    <n v="140.89999999999998"/>
    <n v="149.63333333333333"/>
    <n v="152.65384615384616"/>
    <n v="182.23"/>
    <n v="146.66999999999999"/>
    <n v="155.15"/>
    <n v="137.1"/>
    <n v="145.21499999999997"/>
    <n v="146.44999999999999"/>
    <n v="127.73"/>
    <n v="147.4"/>
    <n v="140.89999999999998"/>
    <x v="2"/>
  </r>
  <r>
    <x v="2"/>
    <x v="7"/>
    <x v="4"/>
    <x v="87"/>
    <n v="149.15"/>
    <n v="184.13"/>
    <n v="150.1"/>
    <n v="154.44999999999999"/>
    <n v="135.69999999999999"/>
    <n v="148.55000000000001"/>
    <n v="162.55000000000001"/>
    <n v="150.65"/>
    <n v="117.25"/>
    <n v="158.30000000000001"/>
    <n v="138.1"/>
    <n v="161.07"/>
    <n v="152.69999999999999"/>
    <n v="179.4"/>
    <n v="152.07"/>
    <n v="143.57"/>
    <n v="150.87"/>
    <n v="155.15"/>
    <n v="143"/>
    <n v="146.4"/>
    <n v="152.55000000000001"/>
    <n v="133.30000000000001"/>
    <n v="146.77000000000001"/>
    <n v="156.27000000000001"/>
    <n v="149.46666666666664"/>
    <n v="145.93333333333334"/>
    <n v="150.73333333333332"/>
    <n v="150.97692307692307"/>
    <n v="179.4"/>
    <n v="150.87"/>
    <n v="155.15"/>
    <n v="143"/>
    <n v="147.93333333333334"/>
    <n v="152.55000000000001"/>
    <n v="133.30000000000001"/>
    <n v="151.52000000000001"/>
    <n v="145.93333333333334"/>
    <x v="2"/>
  </r>
  <r>
    <x v="0"/>
    <x v="7"/>
    <x v="5"/>
    <x v="88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82.4"/>
    <n v="154.1"/>
    <n v="154.69999999999999"/>
    <n v="144.9"/>
    <n v="151.44999999999999"/>
    <n v="158.19999999999999"/>
    <n v="141.4"/>
    <n v="157.5"/>
    <n v="151.69999999999999"/>
    <x v="3"/>
  </r>
  <r>
    <x v="1"/>
    <x v="7"/>
    <x v="5"/>
    <x v="88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86.7"/>
    <n v="147.19999999999999"/>
    <n v="154.69999999999999"/>
    <n v="137.1"/>
    <n v="146.30000000000001"/>
    <n v="148.1"/>
    <n v="129.30000000000001"/>
    <n v="148.5"/>
    <n v="142"/>
    <x v="3"/>
  </r>
  <r>
    <x v="2"/>
    <x v="7"/>
    <x v="5"/>
    <x v="88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83.5"/>
    <n v="151.4"/>
    <n v="154.69999999999999"/>
    <n v="141.9"/>
    <n v="149"/>
    <n v="154.4"/>
    <n v="135"/>
    <n v="152.35000000000002"/>
    <n v="147"/>
    <x v="3"/>
  </r>
  <r>
    <x v="0"/>
    <x v="7"/>
    <x v="6"/>
    <x v="8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  <n v="150.07692307692307"/>
    <n v="182.4"/>
    <n v="154.1"/>
    <n v="154.69999999999999"/>
    <n v="144.9"/>
    <n v="151.44999999999999"/>
    <n v="158.19999999999999"/>
    <n v="141.4"/>
    <n v="157.5"/>
    <n v="151.69999999999999"/>
    <x v="3"/>
  </r>
  <r>
    <x v="1"/>
    <x v="7"/>
    <x v="6"/>
    <x v="8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53.46153846153845"/>
    <n v="186.7"/>
    <n v="147.19999999999999"/>
    <n v="154.69999999999999"/>
    <n v="137.1"/>
    <n v="146.30000000000001"/>
    <n v="148.1"/>
    <n v="129.30000000000001"/>
    <n v="148.5"/>
    <n v="142"/>
    <x v="3"/>
  </r>
  <r>
    <x v="2"/>
    <x v="7"/>
    <x v="6"/>
    <x v="8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51.2923076923077"/>
    <n v="183.5"/>
    <n v="151.4"/>
    <n v="154.69999999999999"/>
    <n v="141.9"/>
    <n v="149"/>
    <n v="154.4"/>
    <n v="135"/>
    <n v="152.35000000000002"/>
    <n v="147"/>
    <x v="3"/>
  </r>
  <r>
    <x v="0"/>
    <x v="7"/>
    <x v="7"/>
    <x v="90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n v="145.80000000000001"/>
    <n v="151.9"/>
    <n v="158.80000000000001"/>
    <n v="143.6"/>
    <n v="152.19999999999999"/>
    <n v="162.69999999999999"/>
    <n v="153.6"/>
    <n v="153"/>
    <n v="154.69999999999999"/>
    <n v="152.19999999999999"/>
    <n v="180.9"/>
    <n v="154.30000000000001"/>
    <n v="155.5"/>
    <n v="145.80000000000001"/>
    <n v="152.75"/>
    <n v="158.80000000000001"/>
    <n v="143.6"/>
    <n v="157.44999999999999"/>
    <n v="153"/>
    <x v="3"/>
  </r>
  <r>
    <x v="1"/>
    <x v="7"/>
    <x v="7"/>
    <x v="90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155.76153846153846"/>
    <n v="187.2"/>
    <n v="147.80000000000001"/>
    <n v="155.5"/>
    <n v="138.30000000000001"/>
    <n v="149.85"/>
    <n v="148.69999999999999"/>
    <n v="133.9"/>
    <n v="148.35"/>
    <n v="144.80000000000001"/>
    <x v="3"/>
  </r>
  <r>
    <x v="2"/>
    <x v="7"/>
    <x v="7"/>
    <x v="90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53.47692307692307"/>
    <n v="182.6"/>
    <n v="151.69999999999999"/>
    <n v="155.5"/>
    <n v="143"/>
    <n v="151.35000000000002"/>
    <n v="155"/>
    <n v="138.5"/>
    <n v="152.25"/>
    <n v="149"/>
    <x v="3"/>
  </r>
  <r>
    <x v="0"/>
    <x v="7"/>
    <x v="8"/>
    <x v="91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n v="146.4"/>
    <n v="151.6"/>
    <n v="159.1"/>
    <n v="144.6"/>
    <n v="152.80000000000001"/>
    <n v="161.1"/>
    <n v="157.4"/>
    <n v="153.69999999999999"/>
    <n v="155.4"/>
    <n v="152.87692307692308"/>
    <n v="182.9"/>
    <n v="154.6"/>
    <n v="156.30000000000001"/>
    <n v="146.4"/>
    <n v="154.5"/>
    <n v="159.1"/>
    <n v="144.6"/>
    <n v="156.94999999999999"/>
    <n v="153.69999999999999"/>
    <x v="3"/>
  </r>
  <r>
    <x v="1"/>
    <x v="7"/>
    <x v="8"/>
    <x v="9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157.04615384615386"/>
    <n v="188.7"/>
    <n v="148.1"/>
    <n v="156.30000000000001"/>
    <n v="137.19999999999999"/>
    <n v="152.60000000000002"/>
    <n v="150"/>
    <n v="135.1"/>
    <n v="148.35000000000002"/>
    <n v="146"/>
    <x v="3"/>
  </r>
  <r>
    <x v="2"/>
    <x v="7"/>
    <x v="8"/>
    <x v="91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154.38461538461539"/>
    <n v="184.4"/>
    <n v="152"/>
    <n v="156.30000000000001"/>
    <n v="142.9"/>
    <n v="153.55000000000001"/>
    <n v="155.6"/>
    <n v="139.6"/>
    <n v="152.05000000000001"/>
    <n v="150"/>
    <x v="3"/>
  </r>
  <r>
    <x v="0"/>
    <x v="7"/>
    <x v="9"/>
    <x v="92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n v="146.80000000000001"/>
    <n v="152"/>
    <n v="159.5"/>
    <n v="146.4"/>
    <n v="152.4"/>
    <n v="162.5"/>
    <n v="156.19999999999999"/>
    <n v="154.30000000000001"/>
    <n v="157.5"/>
    <n v="156.22307692307692"/>
    <n v="182.7"/>
    <n v="155"/>
    <n v="156.5"/>
    <n v="146.80000000000001"/>
    <n v="154.1"/>
    <n v="159.5"/>
    <n v="146.4"/>
    <n v="157.44999999999999"/>
    <n v="154.30000000000001"/>
    <x v="3"/>
  </r>
  <r>
    <x v="1"/>
    <x v="7"/>
    <x v="9"/>
    <x v="92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160.01538461538459"/>
    <n v="188.7"/>
    <n v="148.30000000000001"/>
    <n v="156.5"/>
    <n v="137.1"/>
    <n v="151.6"/>
    <n v="151"/>
    <n v="135.4"/>
    <n v="148.85"/>
    <n v="146.19999999999999"/>
    <x v="3"/>
  </r>
  <r>
    <x v="2"/>
    <x v="7"/>
    <x v="9"/>
    <x v="92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157.5846153846154"/>
    <n v="184.3"/>
    <n v="152.30000000000001"/>
    <n v="156.5"/>
    <n v="143.1"/>
    <n v="152.85"/>
    <n v="156.30000000000001"/>
    <n v="140.6"/>
    <n v="152.5"/>
    <n v="150.4"/>
    <x v="3"/>
  </r>
  <r>
    <x v="0"/>
    <x v="7"/>
    <x v="10"/>
    <x v="93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n v="147.5"/>
    <n v="152.80000000000001"/>
    <n v="160.4"/>
    <n v="146.1"/>
    <n v="153.6"/>
    <n v="161.6"/>
    <n v="156.19999999999999"/>
    <n v="154.5"/>
    <n v="159.80000000000001"/>
    <n v="160.1846153846154"/>
    <n v="183.4"/>
    <n v="155.5"/>
    <n v="158"/>
    <n v="147.5"/>
    <n v="154.5"/>
    <n v="160.4"/>
    <n v="146.1"/>
    <n v="157.6"/>
    <n v="154.5"/>
    <x v="3"/>
  </r>
  <r>
    <x v="1"/>
    <x v="7"/>
    <x v="10"/>
    <x v="93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163.1307692307692"/>
    <n v="188.8"/>
    <n v="148.80000000000001"/>
    <n v="158"/>
    <n v="137.30000000000001"/>
    <n v="151.5"/>
    <n v="152"/>
    <n v="135.19999999999999"/>
    <n v="150.4"/>
    <n v="146.6"/>
    <x v="3"/>
  </r>
  <r>
    <x v="2"/>
    <x v="7"/>
    <x v="10"/>
    <x v="93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161.19999999999999"/>
    <n v="184.8"/>
    <n v="152.80000000000001"/>
    <n v="158"/>
    <n v="143.6"/>
    <n v="153.05000000000001"/>
    <n v="157.19999999999999"/>
    <n v="140.4"/>
    <n v="153.5"/>
    <n v="150.69999999999999"/>
    <x v="3"/>
  </r>
  <r>
    <x v="0"/>
    <x v="7"/>
    <x v="11"/>
    <x v="94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n v="148.69999999999999"/>
    <n v="153.4"/>
    <n v="161.6"/>
    <n v="146.4"/>
    <n v="153.9"/>
    <n v="162.9"/>
    <n v="156.6"/>
    <n v="155.19999999999999"/>
    <n v="160.69999999999999"/>
    <n v="161.57692307692307"/>
    <n v="183.6"/>
    <n v="156.30000000000001"/>
    <n v="158.4"/>
    <n v="148.69999999999999"/>
    <n v="155"/>
    <n v="161.6"/>
    <n v="146.4"/>
    <n v="158.4"/>
    <n v="155.19999999999999"/>
    <x v="3"/>
  </r>
  <r>
    <x v="1"/>
    <x v="7"/>
    <x v="11"/>
    <x v="94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163.49230769230769"/>
    <n v="190.2"/>
    <n v="149.6"/>
    <n v="158.4"/>
    <n v="137.9"/>
    <n v="151.69999999999999"/>
    <n v="152.9"/>
    <n v="135.5"/>
    <n v="150.60000000000002"/>
    <n v="146.9"/>
    <x v="3"/>
  </r>
  <r>
    <x v="2"/>
    <x v="7"/>
    <x v="11"/>
    <x v="94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162.23846153846154"/>
    <n v="185.4"/>
    <n v="153.6"/>
    <n v="158.4"/>
    <n v="144.6"/>
    <n v="153.39999999999998"/>
    <n v="158.30000000000001"/>
    <n v="140.69999999999999"/>
    <n v="153.94999999999999"/>
    <n v="151.19999999999999"/>
    <x v="3"/>
  </r>
  <r>
    <x v="0"/>
    <x v="8"/>
    <x v="0"/>
    <x v="95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n v="150.9"/>
    <n v="153.9"/>
    <n v="162.5"/>
    <n v="147.5"/>
    <n v="155.1"/>
    <n v="163.5"/>
    <n v="156.19999999999999"/>
    <n v="155.9"/>
    <n v="158.5"/>
    <n v="158.89999999999998"/>
    <n v="184.6"/>
    <n v="156.80000000000001"/>
    <n v="157.69999999999999"/>
    <n v="150.9"/>
    <n v="155.05000000000001"/>
    <n v="162.5"/>
    <n v="147.5"/>
    <n v="159.30000000000001"/>
    <n v="155.9"/>
    <x v="3"/>
  </r>
  <r>
    <x v="1"/>
    <x v="8"/>
    <x v="0"/>
    <x v="95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161.30769230769232"/>
    <n v="191.8"/>
    <n v="150.19999999999999"/>
    <n v="157.69999999999999"/>
    <n v="142.9"/>
    <n v="151.69999999999999"/>
    <n v="154.1"/>
    <n v="136.9"/>
    <n v="150.75"/>
    <n v="147.6"/>
    <x v="3"/>
  </r>
  <r>
    <x v="2"/>
    <x v="8"/>
    <x v="0"/>
    <x v="95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159.73076923076923"/>
    <n v="186.5"/>
    <n v="154.19999999999999"/>
    <n v="157.69999999999999"/>
    <n v="147.9"/>
    <n v="153.4"/>
    <n v="159.30000000000001"/>
    <n v="141.9"/>
    <n v="154.39999999999998"/>
    <n v="151.9"/>
    <x v="3"/>
  </r>
  <r>
    <x v="0"/>
    <x v="8"/>
    <x v="1"/>
    <x v="96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n v="154.4"/>
    <n v="154.80000000000001"/>
    <n v="164.3"/>
    <n v="150.19999999999999"/>
    <n v="157"/>
    <n v="163.6"/>
    <n v="155.19999999999999"/>
    <n v="157.19999999999999"/>
    <n v="156.69999999999999"/>
    <n v="155.7923076923077"/>
    <n v="186.5"/>
    <n v="158.4"/>
    <n v="159.80000000000001"/>
    <n v="154.4"/>
    <n v="155"/>
    <n v="164.3"/>
    <n v="150.19999999999999"/>
    <n v="160.30000000000001"/>
    <n v="157.19999999999999"/>
    <x v="3"/>
  </r>
  <r>
    <x v="1"/>
    <x v="8"/>
    <x v="1"/>
    <x v="96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158.92307692307693"/>
    <n v="193.3"/>
    <n v="151.80000000000001"/>
    <n v="159.80000000000001"/>
    <n v="149.1"/>
    <n v="151.6"/>
    <n v="156.30000000000001"/>
    <n v="140.5"/>
    <n v="151.94999999999999"/>
    <n v="149.30000000000001"/>
    <x v="3"/>
  </r>
  <r>
    <x v="2"/>
    <x v="8"/>
    <x v="1"/>
    <x v="96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156.8692307692308"/>
    <n v="188.3"/>
    <n v="155.80000000000001"/>
    <n v="159.80000000000001"/>
    <n v="152.4"/>
    <n v="153.35000000000002"/>
    <n v="161.30000000000001"/>
    <n v="145.1"/>
    <n v="155.5"/>
    <n v="153.4"/>
    <x v="3"/>
  </r>
  <r>
    <x v="0"/>
    <x v="8"/>
    <x v="2"/>
    <x v="97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n v="156"/>
    <n v="154.80000000000001"/>
    <n v="164.6"/>
    <n v="151.30000000000001"/>
    <n v="157.80000000000001"/>
    <n v="163.80000000000001"/>
    <n v="153.1"/>
    <n v="157.30000000000001"/>
    <n v="156.69999999999999"/>
    <n v="155.82307692307694"/>
    <n v="186.1"/>
    <n v="158.9"/>
    <n v="159.9"/>
    <n v="156"/>
    <n v="153.94999999999999"/>
    <n v="164.6"/>
    <n v="151.30000000000001"/>
    <n v="160.80000000000001"/>
    <n v="157.30000000000001"/>
    <x v="3"/>
  </r>
  <r>
    <x v="1"/>
    <x v="8"/>
    <x v="2"/>
    <x v="97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158.80769230769226"/>
    <n v="193.5"/>
    <n v="152.6"/>
    <n v="159.9"/>
    <n v="154.80000000000001"/>
    <n v="151.05000000000001"/>
    <n v="156.9"/>
    <n v="141.69999999999999"/>
    <n v="153.1"/>
    <n v="150"/>
    <x v="3"/>
  </r>
  <r>
    <x v="2"/>
    <x v="8"/>
    <x v="2"/>
    <x v="97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156.87692307692308"/>
    <n v="188.1"/>
    <n v="156.4"/>
    <n v="159.9"/>
    <n v="155.5"/>
    <n v="152.5"/>
    <n v="161.69999999999999"/>
    <n v="146.19999999999999"/>
    <n v="156.39999999999998"/>
    <n v="153.80000000000001"/>
    <x v="3"/>
  </r>
  <r>
    <x v="0"/>
    <x v="8"/>
    <x v="3"/>
    <x v="98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n v="156"/>
    <n v="155.5"/>
    <n v="165.3"/>
    <n v="151.69999999999999"/>
    <n v="158.6"/>
    <n v="164.1"/>
    <n v="154.6"/>
    <n v="158"/>
    <n v="157.6"/>
    <n v="157.65384615384616"/>
    <n v="186.8"/>
    <n v="159.9"/>
    <n v="161.4"/>
    <n v="156"/>
    <n v="155.05000000000001"/>
    <n v="165.3"/>
    <n v="151.69999999999999"/>
    <n v="161.35"/>
    <n v="158"/>
    <x v="3"/>
  </r>
  <r>
    <x v="1"/>
    <x v="8"/>
    <x v="3"/>
    <x v="98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160.73846153846154"/>
    <n v="194.4"/>
    <n v="153.4"/>
    <n v="161.4"/>
    <n v="154.9"/>
    <n v="152.1"/>
    <n v="157.5"/>
    <n v="142.1"/>
    <n v="153.35"/>
    <n v="150.5"/>
    <x v="3"/>
  </r>
  <r>
    <x v="2"/>
    <x v="8"/>
    <x v="3"/>
    <x v="98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158.77692307692308"/>
    <n v="188.8"/>
    <n v="157.30000000000001"/>
    <n v="161.4"/>
    <n v="155.6"/>
    <n v="153.60000000000002"/>
    <n v="162.30000000000001"/>
    <n v="146.6"/>
    <n v="156.75"/>
    <n v="154.4"/>
    <x v="3"/>
  </r>
  <r>
    <x v="0"/>
    <x v="8"/>
    <x v="4"/>
    <x v="99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n v="161.69999999999999"/>
    <n v="158.80000000000001"/>
    <n v="169.1"/>
    <n v="153.19999999999999"/>
    <n v="160"/>
    <n v="167.6"/>
    <n v="159.30000000000001"/>
    <n v="161.1"/>
    <n v="161.1"/>
    <n v="161.17692307692306"/>
    <n v="189.6"/>
    <n v="164.5"/>
    <n v="161.6"/>
    <n v="161.69999999999999"/>
    <n v="159.05000000000001"/>
    <n v="169.1"/>
    <n v="153.19999999999999"/>
    <n v="163.80000000000001"/>
    <n v="161.1"/>
    <x v="3"/>
  </r>
  <r>
    <x v="1"/>
    <x v="8"/>
    <x v="4"/>
    <x v="99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163.43846153846155"/>
    <n v="198.2"/>
    <n v="154.1"/>
    <n v="161.6"/>
    <n v="155.5"/>
    <n v="153.80000000000001"/>
    <n v="160.4"/>
    <n v="145"/>
    <n v="154.6"/>
    <n v="152.30000000000001"/>
    <x v="3"/>
  </r>
  <r>
    <x v="2"/>
    <x v="8"/>
    <x v="4"/>
    <x v="99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161.9769230769231"/>
    <n v="191.9"/>
    <n v="160.4"/>
    <n v="161.6"/>
    <n v="159.4"/>
    <n v="156.64999999999998"/>
    <n v="165.8"/>
    <n v="148.9"/>
    <n v="158.5"/>
    <n v="156.80000000000001"/>
    <x v="3"/>
  </r>
  <r>
    <x v="0"/>
    <x v="8"/>
    <x v="5"/>
    <x v="100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n v="162.1"/>
    <n v="159.19999999999999"/>
    <n v="169.7"/>
    <n v="154.19999999999999"/>
    <n v="160.4"/>
    <n v="166.8"/>
    <n v="159.4"/>
    <n v="161.5"/>
    <n v="162.1"/>
    <n v="163.27692307692308"/>
    <n v="189.1"/>
    <n v="164.6"/>
    <n v="160.5"/>
    <n v="162.1"/>
    <n v="159.30000000000001"/>
    <n v="169.7"/>
    <n v="154.19999999999999"/>
    <n v="163.60000000000002"/>
    <n v="161.5"/>
    <x v="3"/>
  </r>
  <r>
    <x v="1"/>
    <x v="8"/>
    <x v="5"/>
    <x v="100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165.7076923076923"/>
    <n v="195.6"/>
    <n v="154.80000000000001"/>
    <n v="160.5"/>
    <n v="156.1"/>
    <n v="153.9"/>
    <n v="160.80000000000001"/>
    <n v="147.5"/>
    <n v="154.39999999999998"/>
    <n v="153.4"/>
    <x v="3"/>
  </r>
  <r>
    <x v="2"/>
    <x v="8"/>
    <x v="5"/>
    <x v="100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164.14615384615385"/>
    <n v="190.8"/>
    <n v="160.69999999999999"/>
    <n v="160.5"/>
    <n v="159.80000000000001"/>
    <n v="156.80000000000001"/>
    <n v="166.3"/>
    <n v="150.69999999999999"/>
    <n v="158.30000000000001"/>
    <n v="157.6"/>
    <x v="3"/>
  </r>
  <r>
    <x v="0"/>
    <x v="8"/>
    <x v="6"/>
    <x v="101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n v="162.5"/>
    <n v="160.30000000000001"/>
    <n v="170.4"/>
    <n v="157.1"/>
    <n v="160.69999999999999"/>
    <n v="167.2"/>
    <n v="160.4"/>
    <n v="162.80000000000001"/>
    <n v="163.19999999999999"/>
    <n v="164.03076923076924"/>
    <n v="189.7"/>
    <n v="165.3"/>
    <n v="161.5"/>
    <n v="162.5"/>
    <n v="160.35000000000002"/>
    <n v="170.4"/>
    <n v="157.1"/>
    <n v="163.95"/>
    <n v="162.80000000000001"/>
    <x v="3"/>
  </r>
  <r>
    <x v="1"/>
    <x v="8"/>
    <x v="6"/>
    <x v="101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167.06153846153848"/>
    <n v="195.5"/>
    <n v="155.5"/>
    <n v="161.5"/>
    <n v="157.69999999999999"/>
    <n v="155.14999999999998"/>
    <n v="161.5"/>
    <n v="149.5"/>
    <n v="155.75"/>
    <n v="155"/>
    <x v="3"/>
  </r>
  <r>
    <x v="2"/>
    <x v="8"/>
    <x v="6"/>
    <x v="101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165.15384615384616"/>
    <n v="191.2"/>
    <n v="161.4"/>
    <n v="161.5"/>
    <n v="160.69999999999999"/>
    <n v="157.94999999999999"/>
    <n v="167"/>
    <n v="153.1"/>
    <n v="159.25"/>
    <n v="159"/>
    <x v="3"/>
  </r>
  <r>
    <x v="0"/>
    <x v="8"/>
    <x v="7"/>
    <x v="102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n v="163.1"/>
    <n v="160.9"/>
    <n v="171.1"/>
    <n v="157.69999999999999"/>
    <n v="161.1"/>
    <n v="167.5"/>
    <n v="160.30000000000001"/>
    <n v="163.30000000000001"/>
    <n v="163.6"/>
    <n v="163.90769230769232"/>
    <n v="190.2"/>
    <n v="166.3"/>
    <n v="162.1"/>
    <n v="163.1"/>
    <n v="160.60000000000002"/>
    <n v="171.1"/>
    <n v="157.69999999999999"/>
    <n v="164.3"/>
    <n v="163.30000000000001"/>
    <x v="3"/>
  </r>
  <r>
    <x v="1"/>
    <x v="8"/>
    <x v="7"/>
    <x v="102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165.99230769230769"/>
    <n v="196.5"/>
    <n v="157.30000000000001"/>
    <n v="162.1"/>
    <n v="160.69999999999999"/>
    <n v="156.39999999999998"/>
    <n v="162.80000000000001"/>
    <n v="150.4"/>
    <n v="157.05000000000001"/>
    <n v="156"/>
    <x v="3"/>
  </r>
  <r>
    <x v="2"/>
    <x v="8"/>
    <x v="7"/>
    <x v="102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164.76923076923077"/>
    <n v="192.1"/>
    <n v="163.19999999999999"/>
    <n v="162.1"/>
    <n v="162.6"/>
    <n v="158.75"/>
    <n v="168.4"/>
    <n v="154"/>
    <n v="160.69999999999999"/>
    <n v="160"/>
    <x v="3"/>
  </r>
  <r>
    <x v="0"/>
    <x v="8"/>
    <x v="8"/>
    <x v="103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n v="163.69999999999999"/>
    <n v="161.30000000000001"/>
    <n v="171.9"/>
    <n v="157.80000000000001"/>
    <n v="162.69999999999999"/>
    <n v="168.5"/>
    <n v="160.19999999999999"/>
    <n v="163.80000000000001"/>
    <n v="164"/>
    <n v="164.12307692307692"/>
    <n v="190.5"/>
    <n v="167.1"/>
    <n v="162.1"/>
    <n v="163.69999999999999"/>
    <n v="160.75"/>
    <n v="171.9"/>
    <n v="157.80000000000001"/>
    <n v="165.6"/>
    <n v="163.80000000000001"/>
    <x v="3"/>
  </r>
  <r>
    <x v="1"/>
    <x v="8"/>
    <x v="8"/>
    <x v="103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165.99230769230769"/>
    <n v="196.5"/>
    <n v="157.4"/>
    <n v="162.1"/>
    <n v="160.80000000000001"/>
    <n v="156.44999999999999"/>
    <n v="162.80000000000001"/>
    <n v="150.5"/>
    <n v="157.10000000000002"/>
    <n v="156"/>
    <x v="3"/>
  </r>
  <r>
    <x v="2"/>
    <x v="8"/>
    <x v="8"/>
    <x v="103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164.76923076923077"/>
    <n v="192.1"/>
    <n v="163.30000000000001"/>
    <n v="162.1"/>
    <n v="162.6"/>
    <n v="158.75"/>
    <n v="168.4"/>
    <n v="154"/>
    <n v="160.69999999999999"/>
    <n v="160"/>
    <x v="3"/>
  </r>
  <r>
    <x v="0"/>
    <x v="8"/>
    <x v="9"/>
    <x v="104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n v="165.5"/>
    <n v="162"/>
    <n v="172.5"/>
    <n v="159.5"/>
    <n v="163.19999999999999"/>
    <n v="169"/>
    <n v="161.1"/>
    <n v="164.7"/>
    <n v="166.3"/>
    <n v="166.47692307692307"/>
    <n v="191.2"/>
    <n v="168.3"/>
    <n v="163.6"/>
    <n v="165.5"/>
    <n v="161.55000000000001"/>
    <n v="172.5"/>
    <n v="159.5"/>
    <n v="166.1"/>
    <n v="164.7"/>
    <x v="3"/>
  </r>
  <r>
    <x v="1"/>
    <x v="8"/>
    <x v="9"/>
    <x v="104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169.10769230769236"/>
    <n v="197"/>
    <n v="158.30000000000001"/>
    <n v="163.6"/>
    <n v="162.19999999999999"/>
    <n v="157.30000000000001"/>
    <n v="163.5"/>
    <n v="152.19999999999999"/>
    <n v="157.69999999999999"/>
    <n v="157"/>
    <x v="3"/>
  </r>
  <r>
    <x v="2"/>
    <x v="8"/>
    <x v="9"/>
    <x v="104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167.34615384615384"/>
    <n v="192.7"/>
    <n v="164.3"/>
    <n v="163.6"/>
    <n v="164.2"/>
    <n v="159.60000000000002"/>
    <n v="169.1"/>
    <n v="155.69999999999999"/>
    <n v="161.25"/>
    <n v="161"/>
    <x v="3"/>
  </r>
  <r>
    <x v="0"/>
    <x v="8"/>
    <x v="10"/>
    <x v="105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n v="165.3"/>
    <n v="162.9"/>
    <n v="173.4"/>
    <n v="158.9"/>
    <n v="163.80000000000001"/>
    <n v="169.3"/>
    <n v="162.4"/>
    <n v="165.2"/>
    <n v="167.6"/>
    <n v="167.84615384615384"/>
    <n v="191.4"/>
    <n v="169.8"/>
    <n v="164.2"/>
    <n v="165.3"/>
    <n v="162.65"/>
    <n v="173.4"/>
    <n v="158.9"/>
    <n v="166.55"/>
    <n v="165.2"/>
    <x v="3"/>
  </r>
  <r>
    <x v="1"/>
    <x v="8"/>
    <x v="10"/>
    <x v="105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170.60769230769228"/>
    <n v="197"/>
    <n v="159.69999999999999"/>
    <n v="164.2"/>
    <n v="161.6"/>
    <n v="158.5"/>
    <n v="164.2"/>
    <n v="151.19999999999999"/>
    <n v="158.75"/>
    <n v="157.30000000000001"/>
    <x v="3"/>
  </r>
  <r>
    <x v="2"/>
    <x v="8"/>
    <x v="10"/>
    <x v="105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168.77692307692308"/>
    <n v="192.9"/>
    <n v="165.8"/>
    <n v="164.2"/>
    <n v="163.9"/>
    <n v="160.75"/>
    <n v="169.9"/>
    <n v="154.80000000000001"/>
    <n v="162.05000000000001"/>
    <n v="161.4"/>
    <x v="3"/>
  </r>
  <r>
    <x v="0"/>
    <x v="8"/>
    <x v="11"/>
    <x v="106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n v="165.6"/>
    <n v="163.9"/>
    <n v="174"/>
    <n v="160.1"/>
    <n v="164.5"/>
    <n v="169.7"/>
    <n v="162.80000000000001"/>
    <n v="166"/>
    <n v="167"/>
    <n v="166.78461538461536"/>
    <n v="190.8"/>
    <n v="171.2"/>
    <n v="163.4"/>
    <n v="165.6"/>
    <n v="163.35000000000002"/>
    <n v="174"/>
    <n v="160.1"/>
    <n v="167.1"/>
    <n v="166"/>
    <x v="3"/>
  </r>
  <r>
    <x v="1"/>
    <x v="8"/>
    <x v="11"/>
    <x v="106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169.71538461538464"/>
    <n v="196.8"/>
    <n v="160.69999999999999"/>
    <n v="163.4"/>
    <n v="161.69999999999999"/>
    <n v="159.19999999999999"/>
    <n v="165.1"/>
    <n v="151.80000000000001"/>
    <n v="159.1"/>
    <n v="157.80000000000001"/>
    <x v="3"/>
  </r>
  <r>
    <x v="2"/>
    <x v="8"/>
    <x v="11"/>
    <x v="106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167.76153846153846"/>
    <n v="192.4"/>
    <n v="167"/>
    <n v="163.4"/>
    <n v="164.1"/>
    <n v="161.39999999999998"/>
    <n v="170.6"/>
    <n v="155.69999999999999"/>
    <n v="162.5"/>
    <n v="162"/>
    <x v="3"/>
  </r>
  <r>
    <x v="0"/>
    <x v="9"/>
    <x v="0"/>
    <x v="107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n v="165.8"/>
    <n v="164.9"/>
    <n v="174.7"/>
    <n v="160.80000000000001"/>
    <n v="164.9"/>
    <n v="169.9"/>
    <n v="163.19999999999999"/>
    <n v="166.6"/>
    <n v="166.4"/>
    <n v="165.61538461538461"/>
    <n v="190.7"/>
    <n v="172.7"/>
    <n v="164.5"/>
    <n v="165.8"/>
    <n v="164.05"/>
    <n v="174.7"/>
    <n v="160.80000000000001"/>
    <n v="167.4"/>
    <n v="166.6"/>
    <x v="3"/>
  </r>
  <r>
    <x v="1"/>
    <x v="9"/>
    <x v="0"/>
    <x v="107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168.2076923076923"/>
    <n v="196.4"/>
    <n v="162.19999999999999"/>
    <n v="164.5"/>
    <n v="161.6"/>
    <n v="159.80000000000001"/>
    <n v="166.1"/>
    <n v="152.69999999999999"/>
    <n v="159.69999999999999"/>
    <n v="158.6"/>
    <x v="3"/>
  </r>
  <r>
    <x v="2"/>
    <x v="9"/>
    <x v="0"/>
    <x v="107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166.47692307692307"/>
    <n v="192.2"/>
    <n v="168.5"/>
    <n v="164.5"/>
    <n v="164.2"/>
    <n v="162.05000000000001"/>
    <n v="171.4"/>
    <n v="156.5"/>
    <n v="162.94999999999999"/>
    <n v="162.69999999999999"/>
    <x v="3"/>
  </r>
  <r>
    <x v="0"/>
    <x v="9"/>
    <x v="1"/>
    <x v="108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n v="167.4"/>
    <n v="165.7"/>
    <n v="175.3"/>
    <n v="161.19999999999999"/>
    <n v="165.5"/>
    <n v="170.3"/>
    <n v="164.5"/>
    <n v="167.3"/>
    <n v="166.7"/>
    <n v="165.41538461538462"/>
    <n v="191.5"/>
    <n v="173.7"/>
    <n v="165.5"/>
    <n v="167.4"/>
    <n v="165.1"/>
    <n v="175.3"/>
    <n v="161.19999999999999"/>
    <n v="167.9"/>
    <n v="167.3"/>
    <x v="3"/>
  </r>
  <r>
    <x v="1"/>
    <x v="9"/>
    <x v="1"/>
    <x v="108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167.96153846153845"/>
    <n v="196.5"/>
    <n v="163.4"/>
    <n v="165.5"/>
    <n v="163"/>
    <n v="160.80000000000001"/>
    <n v="167.2"/>
    <n v="153.1"/>
    <n v="160.75"/>
    <n v="159.4"/>
    <x v="3"/>
  </r>
  <r>
    <x v="2"/>
    <x v="9"/>
    <x v="1"/>
    <x v="108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166.24615384615387"/>
    <n v="192.8"/>
    <n v="169.6"/>
    <n v="165.5"/>
    <n v="165.7"/>
    <n v="163.10000000000002"/>
    <n v="172.2"/>
    <n v="156.9"/>
    <n v="163.75"/>
    <n v="163.5"/>
    <x v="3"/>
  </r>
  <r>
    <x v="0"/>
    <x v="9"/>
    <x v="2"/>
    <x v="109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n v="168.9"/>
    <n v="166.5"/>
    <n v="176"/>
    <n v="162"/>
    <n v="166.6"/>
    <n v="170.6"/>
    <n v="167.4"/>
    <n v="168.3"/>
    <n v="168.7"/>
    <n v="167.62307692307695"/>
    <n v="192.3"/>
    <n v="175.1"/>
    <n v="165.3"/>
    <n v="168.9"/>
    <n v="166.95"/>
    <n v="176"/>
    <n v="162"/>
    <n v="168.6"/>
    <n v="168.3"/>
    <x v="3"/>
  </r>
  <r>
    <x v="1"/>
    <x v="9"/>
    <x v="2"/>
    <x v="109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168.94615384615386"/>
    <n v="197.5"/>
    <n v="164.9"/>
    <n v="165.3"/>
    <n v="164.5"/>
    <n v="162.69999999999999"/>
    <n v="168.2"/>
    <n v="154.19999999999999"/>
    <n v="161.75"/>
    <n v="160.6"/>
    <x v="3"/>
  </r>
  <r>
    <x v="2"/>
    <x v="9"/>
    <x v="2"/>
    <x v="109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168.01538461538465"/>
    <n v="193.7"/>
    <n v="171.1"/>
    <n v="165.3"/>
    <n v="167.2"/>
    <n v="165"/>
    <n v="173"/>
    <n v="157.9"/>
    <n v="164.65"/>
    <n v="164.6"/>
    <x v="3"/>
  </r>
  <r>
    <x v="0"/>
    <x v="9"/>
    <x v="3"/>
    <x v="110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n v="173.3"/>
    <n v="167.7"/>
    <n v="177"/>
    <n v="166.2"/>
    <n v="167.2"/>
    <n v="170.9"/>
    <n v="169"/>
    <n v="170.2"/>
    <n v="170.8"/>
    <n v="169.73846153846154"/>
    <n v="192.8"/>
    <n v="177.1"/>
    <n v="167"/>
    <n v="173.3"/>
    <n v="168.35"/>
    <n v="177"/>
    <n v="166.2"/>
    <n v="169.05"/>
    <n v="170.2"/>
    <x v="3"/>
  </r>
  <r>
    <x v="1"/>
    <x v="9"/>
    <x v="3"/>
    <x v="110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171.56923076923078"/>
    <n v="197.1"/>
    <n v="166.3"/>
    <n v="167"/>
    <n v="170.5"/>
    <n v="164.10000000000002"/>
    <n v="169"/>
    <n v="159.30000000000001"/>
    <n v="163.1"/>
    <n v="163.1"/>
    <x v="3"/>
  </r>
  <r>
    <x v="2"/>
    <x v="9"/>
    <x v="3"/>
    <x v="110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170.33076923076925"/>
    <n v="193.9"/>
    <n v="172.8"/>
    <n v="167"/>
    <n v="172.2"/>
    <n v="166.4"/>
    <n v="174"/>
    <n v="162.6"/>
    <n v="165.65"/>
    <n v="166.8"/>
    <x v="3"/>
  </r>
  <r>
    <x v="0"/>
    <x v="9"/>
    <x v="4"/>
    <x v="111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n v="175.3"/>
    <n v="168.9"/>
    <n v="177.7"/>
    <n v="167.1"/>
    <n v="167.6"/>
    <n v="171.8"/>
    <n v="168.5"/>
    <n v="170.9"/>
    <n v="172.5"/>
    <n v="171.2923076923077"/>
    <n v="192.9"/>
    <n v="179"/>
    <n v="167.5"/>
    <n v="175.3"/>
    <n v="168.7"/>
    <n v="177.7"/>
    <n v="167.1"/>
    <n v="169.7"/>
    <n v="170.9"/>
    <x v="3"/>
  </r>
  <r>
    <x v="1"/>
    <x v="9"/>
    <x v="4"/>
    <x v="111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174.01538461538465"/>
    <n v="197.5"/>
    <n v="167.8"/>
    <n v="167.5"/>
    <n v="173.5"/>
    <n v="164.64999999999998"/>
    <n v="170.1"/>
    <n v="159.4"/>
    <n v="164.2"/>
    <n v="163.80000000000001"/>
    <x v="3"/>
  </r>
  <r>
    <x v="2"/>
    <x v="9"/>
    <x v="4"/>
    <x v="111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172.22307692307697"/>
    <n v="194.1"/>
    <n v="174.6"/>
    <n v="167.5"/>
    <n v="174.6"/>
    <n v="166.8"/>
    <n v="174.8"/>
    <n v="163"/>
    <n v="166.5"/>
    <n v="167.5"/>
    <x v="3"/>
  </r>
  <r>
    <x v="0"/>
    <x v="9"/>
    <x v="5"/>
    <x v="112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n v="176.7"/>
    <n v="170.3"/>
    <n v="178.2"/>
    <n v="165.5"/>
    <n v="168"/>
    <n v="172.6"/>
    <n v="169.5"/>
    <n v="171"/>
    <n v="173.6"/>
    <n v="172.94615384615386"/>
    <n v="192.9"/>
    <n v="180.4"/>
    <n v="166.8"/>
    <n v="176.7"/>
    <n v="169.9"/>
    <n v="178.2"/>
    <n v="165.5"/>
    <n v="170.3"/>
    <n v="171"/>
    <x v="3"/>
  </r>
  <r>
    <x v="1"/>
    <x v="9"/>
    <x v="5"/>
    <x v="112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175.96153846153845"/>
    <n v="198.3"/>
    <n v="169.4"/>
    <n v="166.8"/>
    <n v="174.9"/>
    <n v="165.64999999999998"/>
    <n v="170.9"/>
    <n v="157.19999999999999"/>
    <n v="165.3"/>
    <n v="163.80000000000001"/>
    <x v="3"/>
  </r>
  <r>
    <x v="2"/>
    <x v="9"/>
    <x v="5"/>
    <x v="112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173.99230769230769"/>
    <n v="194.3"/>
    <n v="176"/>
    <n v="166.8"/>
    <n v="176"/>
    <n v="167.9"/>
    <n v="175.4"/>
    <n v="161.1"/>
    <n v="167.4"/>
    <n v="167.5"/>
    <x v="3"/>
  </r>
  <r>
    <x v="0"/>
    <x v="9"/>
    <x v="6"/>
    <x v="113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n v="179.6"/>
    <n v="171.3"/>
    <n v="178.8"/>
    <n v="166.3"/>
    <n v="168.6"/>
    <n v="174.7"/>
    <n v="169.7"/>
    <n v="171.8"/>
    <n v="174.3"/>
    <n v="173.26923076923077"/>
    <n v="193.2"/>
    <n v="181.7"/>
    <n v="167.8"/>
    <n v="179.6"/>
    <n v="170.5"/>
    <n v="178.8"/>
    <n v="166.3"/>
    <n v="171.64999999999998"/>
    <n v="171.8"/>
    <x v="3"/>
  </r>
  <r>
    <x v="1"/>
    <x v="9"/>
    <x v="6"/>
    <x v="113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176.27692307692308"/>
    <n v="198.6"/>
    <n v="170.6"/>
    <n v="167.8"/>
    <n v="179.5"/>
    <n v="166.45"/>
    <n v="171.7"/>
    <n v="157.4"/>
    <n v="166.85"/>
    <n v="164.7"/>
    <x v="3"/>
  </r>
  <r>
    <x v="2"/>
    <x v="9"/>
    <x v="6"/>
    <x v="113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174.33076923076925"/>
    <n v="194.6"/>
    <n v="177.3"/>
    <n v="167.8"/>
    <n v="179.6"/>
    <n v="168.55"/>
    <n v="176.1"/>
    <n v="161.6"/>
    <n v="168.85000000000002"/>
    <n v="168.4"/>
    <x v="3"/>
  </r>
  <r>
    <x v="0"/>
    <x v="9"/>
    <x v="7"/>
    <x v="114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n v="179.1"/>
    <n v="172.3"/>
    <n v="179.4"/>
    <n v="166.6"/>
    <n v="169.3"/>
    <n v="175.7"/>
    <n v="171.1"/>
    <n v="172.6"/>
    <n v="175.3"/>
    <n v="173.5230769230769"/>
    <n v="193.7"/>
    <n v="183"/>
    <n v="169"/>
    <n v="179.1"/>
    <n v="171.7"/>
    <n v="179.4"/>
    <n v="166.6"/>
    <n v="172.5"/>
    <n v="172.6"/>
    <x v="3"/>
  </r>
  <r>
    <x v="1"/>
    <x v="9"/>
    <x v="7"/>
    <x v="114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176.43846153846152"/>
    <n v="198.7"/>
    <n v="171.6"/>
    <n v="169"/>
    <n v="178.4"/>
    <n v="167.8"/>
    <n v="172.6"/>
    <n v="157.69999999999999"/>
    <n v="167.5"/>
    <n v="165.4"/>
    <x v="3"/>
  </r>
  <r>
    <x v="2"/>
    <x v="9"/>
    <x v="7"/>
    <x v="114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174.55384615384617"/>
    <n v="195"/>
    <n v="178.5"/>
    <n v="169"/>
    <n v="178.8"/>
    <n v="169.85"/>
    <n v="176.8"/>
    <n v="161.9"/>
    <n v="169.60000000000002"/>
    <n v="169.1"/>
    <x v="3"/>
  </r>
  <r>
    <x v="0"/>
    <x v="9"/>
    <x v="8"/>
    <x v="115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n v="179.7"/>
    <n v="173.6"/>
    <n v="180.2"/>
    <n v="166.9"/>
    <n v="170"/>
    <n v="176.2"/>
    <n v="170.8"/>
    <n v="173.1"/>
    <n v="176.4"/>
    <n v="174.44615384615386"/>
    <n v="194.5"/>
    <n v="184.5"/>
    <n v="169.5"/>
    <n v="179.7"/>
    <n v="172.2"/>
    <n v="180.2"/>
    <n v="166.9"/>
    <n v="173.1"/>
    <n v="173.1"/>
    <x v="3"/>
  </r>
  <r>
    <x v="1"/>
    <x v="9"/>
    <x v="8"/>
    <x v="115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177.41538461538462"/>
    <n v="199.7"/>
    <n v="173"/>
    <n v="169.5"/>
    <n v="179.2"/>
    <n v="168.05"/>
    <n v="173.8"/>
    <n v="158.19999999999999"/>
    <n v="168.35000000000002"/>
    <n v="166.1"/>
    <x v="3"/>
  </r>
  <r>
    <x v="2"/>
    <x v="9"/>
    <x v="8"/>
    <x v="115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175.45384615384617"/>
    <n v="195.9"/>
    <n v="179.9"/>
    <n v="169.5"/>
    <n v="179.5"/>
    <n v="170.2"/>
    <n v="177.8"/>
    <n v="162.30000000000001"/>
    <n v="170.35"/>
    <n v="169.7"/>
    <x v="3"/>
  </r>
  <r>
    <x v="0"/>
    <x v="9"/>
    <x v="9"/>
    <x v="116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n v="180.8"/>
    <n v="174.4"/>
    <n v="181.2"/>
    <n v="167.4"/>
    <n v="170.6"/>
    <n v="176.5"/>
    <n v="172"/>
    <n v="173.9"/>
    <n v="177.9"/>
    <n v="175.73076923076923"/>
    <n v="194.9"/>
    <n v="185.9"/>
    <n v="171.2"/>
    <n v="180.8"/>
    <n v="173.2"/>
    <n v="181.2"/>
    <n v="167.4"/>
    <n v="173.55"/>
    <n v="173.9"/>
    <x v="3"/>
  </r>
  <r>
    <x v="1"/>
    <x v="9"/>
    <x v="9"/>
    <x v="116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178.63846153846154"/>
    <n v="200.1"/>
    <n v="173.6"/>
    <n v="171.2"/>
    <n v="180"/>
    <n v="169.15"/>
    <n v="174.7"/>
    <n v="158.80000000000001"/>
    <n v="168.75"/>
    <n v="166.8"/>
    <x v="3"/>
  </r>
  <r>
    <x v="2"/>
    <x v="9"/>
    <x v="9"/>
    <x v="116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176.71538461538464"/>
    <n v="196.3"/>
    <n v="181"/>
    <n v="171.2"/>
    <n v="180.5"/>
    <n v="171.25"/>
    <n v="178.7"/>
    <n v="162.9"/>
    <n v="170.8"/>
    <n v="170.5"/>
    <x v="3"/>
  </r>
  <r>
    <x v="0"/>
    <x v="9"/>
    <x v="10"/>
    <x v="117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n v="181.9"/>
    <n v="175.5"/>
    <n v="182.3"/>
    <n v="167.5"/>
    <n v="170.8"/>
    <n v="176.9"/>
    <n v="173.4"/>
    <n v="174.6"/>
    <n v="177.8"/>
    <n v="175.97692307692307"/>
    <n v="195.5"/>
    <n v="186.9"/>
    <n v="171.8"/>
    <n v="181.9"/>
    <n v="174.45"/>
    <n v="182.3"/>
    <n v="167.5"/>
    <n v="173.85000000000002"/>
    <n v="174.6"/>
    <x v="3"/>
  </r>
  <r>
    <x v="1"/>
    <x v="9"/>
    <x v="10"/>
    <x v="117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178.03076923076924"/>
    <n v="200.6"/>
    <n v="174.7"/>
    <n v="171.8"/>
    <n v="180.3"/>
    <n v="170.35000000000002"/>
    <n v="175.8"/>
    <n v="158.9"/>
    <n v="169.1"/>
    <n v="167.4"/>
    <x v="3"/>
  </r>
  <r>
    <x v="2"/>
    <x v="9"/>
    <x v="10"/>
    <x v="117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176.67692307692309"/>
    <n v="196.9"/>
    <n v="182.1"/>
    <n v="171.8"/>
    <n v="181.3"/>
    <n v="172.5"/>
    <n v="179.8"/>
    <n v="163"/>
    <n v="171.1"/>
    <n v="171.1"/>
    <x v="3"/>
  </r>
  <r>
    <x v="0"/>
    <x v="9"/>
    <x v="11"/>
    <x v="118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n v="182.8"/>
    <n v="176.4"/>
    <n v="183.5"/>
    <n v="167.8"/>
    <n v="171.2"/>
    <n v="177.3"/>
    <n v="175.7"/>
    <n v="175.5"/>
    <n v="177.1"/>
    <n v="175.16153846153844"/>
    <n v="195.9"/>
    <n v="187.8"/>
    <n v="170.7"/>
    <n v="182.8"/>
    <n v="176.05"/>
    <n v="183.5"/>
    <n v="167.8"/>
    <n v="174.25"/>
    <n v="175.5"/>
    <x v="3"/>
  </r>
  <r>
    <x v="1"/>
    <x v="9"/>
    <x v="11"/>
    <x v="118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176.59999999999997"/>
    <n v="201.1"/>
    <n v="175.7"/>
    <n v="170.7"/>
    <n v="180.6"/>
    <n v="171.65"/>
    <n v="177.2"/>
    <n v="159.4"/>
    <n v="169.45"/>
    <n v="168.2"/>
    <x v="3"/>
  </r>
  <r>
    <x v="2"/>
    <x v="9"/>
    <x v="11"/>
    <x v="118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175.64615384615385"/>
    <n v="197.3"/>
    <n v="183"/>
    <n v="170.7"/>
    <n v="182"/>
    <n v="173.95"/>
    <n v="181.1"/>
    <n v="163.4"/>
    <n v="171.5"/>
    <n v="172"/>
    <x v="3"/>
  </r>
  <r>
    <x v="0"/>
    <x v="10"/>
    <x v="0"/>
    <x v="119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n v="183.2"/>
    <n v="177.2"/>
    <n v="184.7"/>
    <n v="168.2"/>
    <n v="171.8"/>
    <n v="177.8"/>
    <n v="178.4"/>
    <n v="176.5"/>
    <n v="177.8"/>
    <n v="175.63076923076926"/>
    <n v="196.9"/>
    <n v="188.6"/>
    <n v="172.1"/>
    <n v="183.2"/>
    <n v="177.8"/>
    <n v="184.7"/>
    <n v="168.2"/>
    <n v="174.8"/>
    <n v="176.5"/>
    <x v="3"/>
  </r>
  <r>
    <x v="1"/>
    <x v="10"/>
    <x v="0"/>
    <x v="119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177.70769230769233"/>
    <n v="201.6"/>
    <n v="176.6"/>
    <n v="172.1"/>
    <n v="180.1"/>
    <n v="173.4"/>
    <n v="178.5"/>
    <n v="159.5"/>
    <n v="169.8"/>
    <n v="168.9"/>
    <x v="3"/>
  </r>
  <r>
    <x v="2"/>
    <x v="10"/>
    <x v="0"/>
    <x v="119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176.36153846153846"/>
    <n v="198.2"/>
    <n v="183.8"/>
    <n v="172.1"/>
    <n v="182"/>
    <n v="175.75"/>
    <n v="182.3"/>
    <n v="163.6"/>
    <n v="171.9"/>
    <n v="172.8"/>
    <x v="3"/>
  </r>
  <r>
    <x v="0"/>
    <x v="10"/>
    <x v="1"/>
    <x v="120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n v="181.6"/>
    <n v="178.6"/>
    <n v="186.6"/>
    <n v="169"/>
    <n v="172.8"/>
    <n v="178.5"/>
    <n v="180.7"/>
    <n v="177.9"/>
    <n v="178"/>
    <n v="174.28461538461536"/>
    <n v="198.3"/>
    <n v="189.6"/>
    <n v="173.5"/>
    <n v="181.6"/>
    <n v="179.64999999999998"/>
    <n v="186.6"/>
    <n v="169"/>
    <n v="175.65"/>
    <n v="177.9"/>
    <x v="3"/>
  </r>
  <r>
    <x v="1"/>
    <x v="10"/>
    <x v="1"/>
    <x v="120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177.16923076923075"/>
    <n v="202.7"/>
    <n v="178.2"/>
    <n v="173.5"/>
    <n v="182.8"/>
    <n v="175.3"/>
    <n v="180.8"/>
    <n v="159.80000000000001"/>
    <n v="170.45"/>
    <n v="170"/>
    <x v="3"/>
  </r>
  <r>
    <x v="2"/>
    <x v="10"/>
    <x v="1"/>
    <x v="120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175.3153846153846"/>
    <n v="199.5"/>
    <n v="185.1"/>
    <n v="173.5"/>
    <n v="182.1"/>
    <n v="177.6"/>
    <n v="184.4"/>
    <n v="164.2"/>
    <n v="172.65"/>
    <n v="174.1"/>
    <x v="3"/>
  </r>
  <r>
    <x v="0"/>
    <x v="10"/>
    <x v="2"/>
    <x v="121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n v="181.4"/>
    <n v="178.6"/>
    <n v="186.6"/>
    <n v="169"/>
    <n v="172.8"/>
    <n v="178.5"/>
    <n v="180.7"/>
    <n v="177.9"/>
    <n v="178"/>
    <n v="174.2923076923077"/>
    <n v="198.4"/>
    <n v="189.6"/>
    <n v="173.5"/>
    <n v="181.4"/>
    <n v="179.64999999999998"/>
    <n v="186.6"/>
    <n v="169"/>
    <n v="175.65"/>
    <n v="177.9"/>
    <x v="3"/>
  </r>
  <r>
    <x v="1"/>
    <x v="10"/>
    <x v="2"/>
    <x v="121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177.1846153846154"/>
    <n v="202.7"/>
    <n v="178.2"/>
    <n v="173.5"/>
    <n v="182.6"/>
    <n v="175.35"/>
    <n v="180.8"/>
    <n v="159.80000000000001"/>
    <n v="170.45"/>
    <n v="170"/>
    <x v="3"/>
  </r>
  <r>
    <x v="2"/>
    <x v="10"/>
    <x v="2"/>
    <x v="121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175.32307692307691"/>
    <n v="199.5"/>
    <n v="185.1"/>
    <n v="173.5"/>
    <n v="181.9"/>
    <n v="177.6"/>
    <n v="184.4"/>
    <n v="164.2"/>
    <n v="172.65"/>
    <n v="174.1"/>
    <x v="3"/>
  </r>
  <r>
    <x v="0"/>
    <x v="10"/>
    <x v="3"/>
    <x v="122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n v="181.5"/>
    <n v="179.1"/>
    <n v="187.2"/>
    <n v="169.4"/>
    <n v="173.2"/>
    <n v="179.4"/>
    <n v="183.8"/>
    <n v="178.9"/>
    <n v="178.8"/>
    <n v="174.93846153846152"/>
    <n v="199.5"/>
    <n v="190.2"/>
    <n v="175.2"/>
    <n v="181.5"/>
    <n v="181.45"/>
    <n v="187.2"/>
    <n v="169.4"/>
    <n v="176.3"/>
    <n v="178.9"/>
    <x v="3"/>
  </r>
  <r>
    <x v="1"/>
    <x v="10"/>
    <x v="3"/>
    <x v="122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178.28461538461539"/>
    <n v="203.5"/>
    <n v="178.9"/>
    <n v="175.2"/>
    <n v="182.1"/>
    <n v="177"/>
    <n v="181.5"/>
    <n v="160.1"/>
    <n v="171.5"/>
    <n v="170.9"/>
    <x v="3"/>
  </r>
  <r>
    <x v="2"/>
    <x v="10"/>
    <x v="3"/>
    <x v="122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176.12307692307695"/>
    <n v="200.6"/>
    <n v="185.7"/>
    <n v="175.2"/>
    <n v="181.7"/>
    <n v="179.3"/>
    <n v="185"/>
    <n v="164.5"/>
    <n v="173.55"/>
    <n v="175"/>
    <x v="3"/>
  </r>
  <r>
    <x v="0"/>
    <x v="10"/>
    <x v="4"/>
    <x v="123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n v="182.5"/>
    <n v="179.8"/>
    <n v="187.8"/>
    <n v="169.7"/>
    <n v="173.8"/>
    <n v="180.3"/>
    <n v="184.9"/>
    <n v="179.5"/>
    <n v="179.8"/>
    <n v="176.20769230769235"/>
    <n v="199.9"/>
    <n v="190.8"/>
    <n v="175.6"/>
    <n v="182.5"/>
    <n v="182.35000000000002"/>
    <n v="187.8"/>
    <n v="169.7"/>
    <n v="177.05"/>
    <n v="179.5"/>
    <x v="3"/>
  </r>
  <r>
    <x v="1"/>
    <x v="10"/>
    <x v="4"/>
    <x v="123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179.62307692307692"/>
    <n v="204.2"/>
    <n v="179.3"/>
    <n v="175.6"/>
    <n v="183.4"/>
    <n v="177.85"/>
    <n v="182.2"/>
    <n v="160.4"/>
    <n v="172"/>
    <n v="171.6"/>
    <x v="3"/>
  </r>
  <r>
    <x v="2"/>
    <x v="10"/>
    <x v="4"/>
    <x v="123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177.45384615384617"/>
    <n v="201"/>
    <n v="186.2"/>
    <n v="175.6"/>
    <n v="182.8"/>
    <n v="180.2"/>
    <n v="185.7"/>
    <n v="164.8"/>
    <n v="174.14999999999998"/>
    <n v="175.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5D20C-011F-44B3-AA96-AA401EC99BE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 rowPageCount="1" colPageCount="1"/>
  <pivotFields count="42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Average of Vegetables" fld="10" subtotal="average" baseField="0" baseItem="0"/>
  </dataFields>
  <formats count="1">
    <format dxfId="49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30E62-B66F-4C1E-BEF1-44A20C0E119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K9" firstHeaderRow="0" firstDataRow="1" firstDataCol="1" rowPageCount="3" colPageCount="1"/>
  <pivotFields count="42">
    <pivotField axis="axisPage" multipleItemSelectionAllowed="1" showAll="0">
      <items count="4">
        <item h="1" x="0"/>
        <item x="2"/>
        <item h="1"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Page" multipleItemSelectionAllowed="1" showAll="0">
      <items count="13">
        <item h="1" sd="0" x="0"/>
        <item h="1" sd="0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numFmtId="16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3"/>
  </rowFields>
  <rowItems count="2">
    <i>
      <x v="12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3">
    <pageField fld="0" hier="-1"/>
    <pageField fld="1" hier="-1"/>
    <pageField fld="2" hier="-1"/>
  </pageFields>
  <dataFields count="10">
    <dataField name="Average of Food" fld="31" subtotal="average" baseField="41" baseItem="4"/>
    <dataField name="Average of Pan, Tobacco &amp; Intoxicants" fld="32" subtotal="average" baseField="41" baseItem="4"/>
    <dataField name="Average of Clothing &amp; Footwear" fld="33" subtotal="average" baseField="41" baseItem="4"/>
    <dataField name="Average of Fuel &amp; Energy" fld="35" subtotal="average" baseField="41" baseItem="4"/>
    <dataField name="Average of Transport &amp; Communication" fld="38" subtotal="average" baseField="41" baseItem="4"/>
    <dataField name="Average of Housing&amp;Accommodation" fld="34" subtotal="average" baseField="3" baseItem="5"/>
    <dataField name="Average of Household&amp;PersonalCare" fld="36" subtotal="average" baseField="3" baseItem="5"/>
    <dataField name="Average of Healthcare" fld="37" subtotal="average" baseField="3" baseItem="5"/>
    <dataField name="Average of Education &amp; Recreation" fld="39" subtotal="average" baseField="3" baseItem="5"/>
    <dataField name="Average of Miscellaneouss" fld="40" subtotal="average" baseField="3" baseItem="5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092CB-A608-4D42-8D5E-ED9EF5858DBD}" name="PivotTable2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4" firstHeaderRow="1" firstDataRow="1" firstDataCol="1" rowPageCount="1" colPageCount="1"/>
  <pivotFields count="42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Average of General index" fld="30" subtotal="average" baseField="1" baseItem="0"/>
  </dataFields>
  <formats count="2">
    <format dxfId="39">
      <pivotArea collapsedLevelsAreSubtotals="1" fieldPosition="0">
        <references count="1">
          <reference field="1" count="0"/>
        </references>
      </pivotArea>
    </format>
    <format dxfId="3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CFF6F-7845-49D1-9563-8A14BF7F607A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6:B52" firstHeaderRow="1" firstDataRow="1" firstDataCol="1" rowPageCount="1" colPageCount="1"/>
  <pivotFields count="42">
    <pivotField axis="axisPage" multipleItemSelectionAllowed="1" showAll="0">
      <items count="4">
        <item h="1" x="0"/>
        <item x="2"/>
        <item h="1" x="1"/>
        <item t="default"/>
      </items>
    </pivotField>
    <pivotField showAll="0"/>
    <pivotField showAll="0"/>
    <pivotField axis="axisRow" numFmtId="164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pageFields count="1">
    <pageField fld="0" hier="-1"/>
  </pageFields>
  <dataFields count="1">
    <dataField name="Average of Food" fld="31" subtotal="average" baseField="3" baseItem="113" numFmtId="2"/>
  </dataFields>
  <formats count="7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0C2DC-741F-4B5C-BE05-E6771B766F04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2:Q35" firstHeaderRow="0" firstDataRow="1" firstDataCol="1" rowPageCount="1" colPageCount="1"/>
  <pivotFields count="42">
    <pivotField axis="axisPage" multipleItemSelectionAllowed="1" showAll="0">
      <items count="4">
        <item h="1" x="0"/>
        <item x="2"/>
        <item h="1" x="1"/>
        <item t="default"/>
      </items>
    </pivotField>
    <pivotField showAll="0"/>
    <pivotField showAll="0"/>
    <pivotField axis="axisRow" numFmtId="164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12"/>
    </i>
    <i>
      <x v="12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Average of Cereals and products" fld="4" subtotal="average" baseField="3" baseItem="112"/>
    <dataField name="Average of Meat and fish" fld="5" subtotal="average" baseField="3" baseItem="112"/>
    <dataField name="Average of Egg" fld="6" subtotal="average" baseField="3" baseItem="112"/>
    <dataField name="Average of Milk and products" fld="7" subtotal="average" baseField="3" baseItem="112"/>
    <dataField name="Average of Oils and fats" fld="8" subtotal="average" baseField="3" baseItem="112"/>
    <dataField name="Average of Fruits" fld="9" subtotal="average" baseField="3" baseItem="112"/>
    <dataField name="Average of Vegetables" fld="10" subtotal="average" baseField="3" baseItem="112"/>
    <dataField name="Average of Pulses and products" fld="11" subtotal="average" baseField="3" baseItem="112"/>
    <dataField name="Average of Sugar and Confectionery" fld="12" subtotal="average" baseField="3" baseItem="112"/>
    <dataField name="Average of Spices" fld="13" subtotal="average" baseField="3" baseItem="112"/>
    <dataField name="Average of Nonalcoholic beverages" fld="14" subtotal="average" baseField="3" baseItem="112"/>
    <dataField name="Average of Prepared meals, snacks, sweets etc." fld="15" subtotal="average" baseField="3" baseItem="112"/>
    <dataField name="Average of Food and beverages" fld="16" subtotal="average" baseField="3" baseItem="112"/>
  </dataFields>
  <formats count="7"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3AA06-B22B-4230-B617-ECD819290BA1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9" firstHeaderRow="1" firstDataRow="1" firstDataCol="1" rowPageCount="1" colPageCount="1"/>
  <pivotFields count="42">
    <pivotField axis="axisPage" multipleItemSelectionAllowed="1" showAll="0">
      <items count="4">
        <item h="1" x="0"/>
        <item x="2"/>
        <item h="1" x="1"/>
        <item t="default"/>
      </items>
    </pivotField>
    <pivotField showAll="0"/>
    <pivotField showAll="0"/>
    <pivotField axis="axisRow" numFmtId="164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pageFields count="1">
    <pageField fld="0" hier="-1"/>
  </pageFields>
  <dataFields count="1">
    <dataField name="Average of Food" fld="31" subtotal="average" baseField="3" baseItem="113" numFmtId="2"/>
  </dataFields>
  <formats count="7"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F225D-5946-49C5-B6D1-0A93A1734C0A}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L9" firstHeaderRow="0" firstDataRow="1" firstDataCol="1"/>
  <pivotFields count="42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4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Average of General index" fld="30" subtotal="average" baseField="41" baseItem="0"/>
    <dataField name="Average of Food" fld="31" subtotal="average" baseField="41" baseItem="0"/>
    <dataField name="Average of Pan, Tobacco &amp; Intoxicants" fld="32" subtotal="average" baseField="41" baseItem="0"/>
    <dataField name="Average of Clothing &amp; Footwear" fld="33" subtotal="average" baseField="41" baseItem="0"/>
    <dataField name="Average of Housing&amp;Accommodation" fld="34" subtotal="average" baseField="41" baseItem="0"/>
    <dataField name="Average of Fuel &amp; Energy" fld="35" subtotal="average" baseField="41" baseItem="0"/>
    <dataField name="Average of Household&amp;PersonalCare" fld="36" subtotal="average" baseField="41" baseItem="0"/>
    <dataField name="Average of Healthcare" fld="37" subtotal="average" baseField="41" baseItem="0"/>
    <dataField name="Average of Transport &amp; Communication" fld="38" subtotal="average" baseField="41" baseItem="0"/>
    <dataField name="Average of Education &amp; Recreation" fld="39" subtotal="average" baseField="41" baseItem="0"/>
    <dataField name="Average of Miscellaneouss" fld="40" subtotal="average" baseField="41" baseItem="0"/>
  </dataFields>
  <formats count="7"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1" type="button" dataOnly="0" labelOnly="1" outline="0" axis="axisRow" fieldPosition="0"/>
    </format>
    <format dxfId="2">
      <pivotArea dataOnly="0" labelOnly="1" fieldPosition="0">
        <references count="1">
          <reference field="4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89F32-566D-4581-AEB6-10CAFF13CB46}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F78" firstHeaderRow="0" firstDataRow="1" firstDataCol="1"/>
  <pivotFields count="42">
    <pivotField showAll="0"/>
    <pivotField showAll="0"/>
    <pivotField showAll="0"/>
    <pivotField axis="axisRow" numFmtId="164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65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General index" fld="30" subtotal="average" baseField="3" baseItem="60"/>
    <dataField name="Average of Food" fld="31" subtotal="average" baseField="3" baseItem="60"/>
    <dataField name="Average of Housing&amp;Accommodation" fld="34" subtotal="average" baseField="3" baseItem="60"/>
    <dataField name="Average of Healthcare" fld="37" subtotal="average" baseField="3" baseItem="60"/>
    <dataField name="Average of Transport &amp; Communication" fld="38" subtotal="average" baseField="3" baseItem="60"/>
  </dataFields>
  <formats count="10">
    <format dxfId="16">
      <pivotArea outline="0" collapsedLevelsAreSubtotals="1" fieldPosition="0"/>
    </format>
    <format dxfId="15">
      <pivotArea collapsedLevelsAreSubtotals="1" fieldPosition="0">
        <references count="1">
          <reference field="3" count="1">
            <x v="73"/>
          </reference>
        </references>
      </pivotArea>
    </format>
    <format dxfId="14">
      <pivotArea dataOnly="0" labelOnly="1" fieldPosition="0">
        <references count="1">
          <reference field="3" count="1">
            <x v="73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50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">
      <pivotArea dataOnly="0" labelOnly="1" fieldPosition="0">
        <references count="1">
          <reference field="3" count="14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373" totalsRowShown="0">
  <tableColumns count="42">
    <tableColumn id="1" xr3:uid="{00000000-0010-0000-0000-000001000000}" name="Sector"/>
    <tableColumn id="2" xr3:uid="{00000000-0010-0000-0000-000002000000}" name="Year"/>
    <tableColumn id="3" xr3:uid="{00000000-0010-0000-0000-000003000000}" name="Month"/>
    <tableColumn id="4" xr3:uid="{00000000-0010-0000-0000-000004000000}" name="Date" dataDxfId="48">
      <calculatedColumnFormula>DATE(B2,MATCH(C2,{"January","February","March","April","May","June","July","August","September","October","November","December"},0),1)</calculatedColumnFormula>
    </tableColumn>
    <tableColumn id="5" xr3:uid="{00000000-0010-0000-0000-000005000000}" name="Cereals and products"/>
    <tableColumn id="6" xr3:uid="{00000000-0010-0000-0000-000006000000}" name="Meat and fish"/>
    <tableColumn id="7" xr3:uid="{00000000-0010-0000-0000-000007000000}" name="Egg"/>
    <tableColumn id="8" xr3:uid="{00000000-0010-0000-0000-000008000000}" name="Milk and products"/>
    <tableColumn id="9" xr3:uid="{00000000-0010-0000-0000-000009000000}" name="Oils and fats"/>
    <tableColumn id="10" xr3:uid="{00000000-0010-0000-0000-00000A000000}" name="Fruits"/>
    <tableColumn id="11" xr3:uid="{00000000-0010-0000-0000-00000B000000}" name="Vegetables"/>
    <tableColumn id="12" xr3:uid="{00000000-0010-0000-0000-00000C000000}" name="Pulses and products"/>
    <tableColumn id="13" xr3:uid="{00000000-0010-0000-0000-00000D000000}" name="Sugar and Confectionery"/>
    <tableColumn id="14" xr3:uid="{00000000-0010-0000-0000-00000E000000}" name="Spices"/>
    <tableColumn id="15" xr3:uid="{00000000-0010-0000-0000-00000F000000}" name="Nonalcoholic beverages"/>
    <tableColumn id="16" xr3:uid="{00000000-0010-0000-0000-000010000000}" name="Prepared meals, snacks, sweets etc."/>
    <tableColumn id="17" xr3:uid="{00000000-0010-0000-0000-000011000000}" name="Food and beverages"/>
    <tableColumn id="18" xr3:uid="{00000000-0010-0000-0000-000012000000}" name="Pan, tobacco and intoxicants"/>
    <tableColumn id="19" xr3:uid="{00000000-0010-0000-0000-000013000000}" name="Clothing"/>
    <tableColumn id="20" xr3:uid="{00000000-0010-0000-0000-000014000000}" name="Footwear"/>
    <tableColumn id="21" xr3:uid="{00000000-0010-0000-0000-000015000000}" name="Clothing and footwear"/>
    <tableColumn id="22" xr3:uid="{00000000-0010-0000-0000-000016000000}" name="Housing"/>
    <tableColumn id="23" xr3:uid="{00000000-0010-0000-0000-000017000000}" name="Fuel and light"/>
    <tableColumn id="24" xr3:uid="{00000000-0010-0000-0000-000018000000}" name="Household goods and services"/>
    <tableColumn id="25" xr3:uid="{00000000-0010-0000-0000-000019000000}" name="Health"/>
    <tableColumn id="26" xr3:uid="{00000000-0010-0000-0000-00001A000000}" name="Transport and communication"/>
    <tableColumn id="27" xr3:uid="{00000000-0010-0000-0000-00001B000000}" name="Recreation and amusement"/>
    <tableColumn id="28" xr3:uid="{00000000-0010-0000-0000-00001C000000}" name="Education"/>
    <tableColumn id="29" xr3:uid="{00000000-0010-0000-0000-00001D000000}" name="Personal care and effects"/>
    <tableColumn id="30" xr3:uid="{00000000-0010-0000-0000-00001E000000}" name="Miscellaneous"/>
    <tableColumn id="31" xr3:uid="{00000000-0010-0000-0000-00001F000000}" name="General index"/>
    <tableColumn id="32" xr3:uid="{00000000-0010-0000-0000-000020000000}" name="Food" dataDxfId="47">
      <calculatedColumnFormula>AVERAGE(E2:Q2)</calculatedColumnFormula>
    </tableColumn>
    <tableColumn id="33" xr3:uid="{00000000-0010-0000-0000-000021000000}" name="Pan, Tobacco &amp; Intoxicants"/>
    <tableColumn id="34" xr3:uid="{00000000-0010-0000-0000-000022000000}" name="Clothing &amp; Footwear" dataDxfId="46">
      <calculatedColumnFormula>Table1[[#This Row],[Clothing and footwear]]</calculatedColumnFormula>
    </tableColumn>
    <tableColumn id="42" xr3:uid="{00000000-0010-0000-0000-00002A000000}" name="Housing&amp;Accommodation"/>
    <tableColumn id="35" xr3:uid="{00000000-0010-0000-0000-000023000000}" name="Fuel &amp; Energy"/>
    <tableColumn id="43" xr3:uid="{00000000-0010-0000-0000-00002B000000}" name="Household&amp;PersonalCare" dataDxfId="45">
      <calculatedColumnFormula>AVERAGE(Table1[[#This Row],[Household goods and services]],Table1[[#This Row],[Personal care and effects]])</calculatedColumnFormula>
    </tableColumn>
    <tableColumn id="44" xr3:uid="{00000000-0010-0000-0000-00002C000000}" name="Healthcare" dataDxfId="44">
      <calculatedColumnFormula>Table1[[#This Row],[Health]]</calculatedColumnFormula>
    </tableColumn>
    <tableColumn id="37" xr3:uid="{00000000-0010-0000-0000-000025000000}" name="Transport &amp; Communication"/>
    <tableColumn id="45" xr3:uid="{00000000-0010-0000-0000-00002D000000}" name="Education &amp; Recreation" dataDxfId="43">
      <calculatedColumnFormula>AVERAGE(Table1[[#This Row],[Education]],Table1[[#This Row],[Recreation and amusement]])</calculatedColumnFormula>
    </tableColumn>
    <tableColumn id="46" xr3:uid="{00000000-0010-0000-0000-00002E000000}" name="Miscellaneouss" dataDxfId="42">
      <calculatedColumnFormula>Table1[[#This Row],[Miscellaneous]]</calculatedColumnFormula>
    </tableColumn>
    <tableColumn id="40" xr3:uid="{00000000-0010-0000-0000-000028000000}" name="Covid Period" dataDxfId="41">
      <calculatedColumnFormula>IF(D2&lt;DATE(2020,3,1),"Pre-COVID",IF(D2=DATE(2020,3,1),"COVID Onset",IF(D2&lt;=DATE(2020,5,31),"Lockdown","Post-COVID")))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opLeftCell="A337" workbookViewId="0">
      <selection activeCell="F33" sqref="F33"/>
    </sheetView>
  </sheetViews>
  <sheetFormatPr defaultRowHeight="15" x14ac:dyDescent="0.25"/>
  <cols>
    <col min="10" max="10" width="12.85546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B1A1-E697-4217-A9BE-3FD978FEEF2E}">
  <dimension ref="A1:B15"/>
  <sheetViews>
    <sheetView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21.42578125" bestFit="1" customWidth="1"/>
    <col min="4" max="4" width="13.7109375" bestFit="1" customWidth="1"/>
  </cols>
  <sheetData>
    <row r="1" spans="1:2" x14ac:dyDescent="0.25">
      <c r="A1" s="9" t="s">
        <v>0</v>
      </c>
      <c r="B1" t="s">
        <v>30</v>
      </c>
    </row>
    <row r="3" spans="1:2" x14ac:dyDescent="0.25">
      <c r="A3" s="9" t="s">
        <v>57</v>
      </c>
      <c r="B3" t="s">
        <v>100</v>
      </c>
    </row>
    <row r="4" spans="1:2" x14ac:dyDescent="0.25">
      <c r="A4" s="10">
        <v>2013</v>
      </c>
      <c r="B4" s="4">
        <v>128.76666666666668</v>
      </c>
    </row>
    <row r="5" spans="1:2" x14ac:dyDescent="0.25">
      <c r="A5" s="10">
        <v>2014</v>
      </c>
      <c r="B5" s="4">
        <v>137.42499999999998</v>
      </c>
    </row>
    <row r="6" spans="1:2" x14ac:dyDescent="0.25">
      <c r="A6" s="10">
        <v>2015</v>
      </c>
      <c r="B6" s="4">
        <v>140.95000000000002</v>
      </c>
    </row>
    <row r="7" spans="1:2" x14ac:dyDescent="0.25">
      <c r="A7" s="10">
        <v>2016</v>
      </c>
      <c r="B7" s="4">
        <v>142.76666666666668</v>
      </c>
    </row>
    <row r="8" spans="1:2" x14ac:dyDescent="0.25">
      <c r="A8" s="10">
        <v>2017</v>
      </c>
      <c r="B8" s="4">
        <v>140.64166666666665</v>
      </c>
    </row>
    <row r="9" spans="1:2" x14ac:dyDescent="0.25">
      <c r="A9" s="10">
        <v>2018</v>
      </c>
      <c r="B9" s="4">
        <v>145.04166666666666</v>
      </c>
    </row>
    <row r="10" spans="1:2" x14ac:dyDescent="0.25">
      <c r="A10" s="10">
        <v>2019</v>
      </c>
      <c r="B10" s="4">
        <v>155.63636363636363</v>
      </c>
    </row>
    <row r="11" spans="1:2" x14ac:dyDescent="0.25">
      <c r="A11" s="10">
        <v>2020</v>
      </c>
      <c r="B11" s="4">
        <v>176.91666666666666</v>
      </c>
    </row>
    <row r="12" spans="1:2" x14ac:dyDescent="0.25">
      <c r="A12" s="10">
        <v>2021</v>
      </c>
      <c r="B12" s="4">
        <v>156.78333333333333</v>
      </c>
    </row>
    <row r="13" spans="1:2" x14ac:dyDescent="0.25">
      <c r="A13" s="10">
        <v>2022</v>
      </c>
      <c r="B13" s="4">
        <v>164.72499999999999</v>
      </c>
    </row>
    <row r="14" spans="1:2" x14ac:dyDescent="0.25">
      <c r="A14" s="10">
        <v>2023</v>
      </c>
      <c r="B14" s="4">
        <v>143.23999999999998</v>
      </c>
    </row>
    <row r="15" spans="1:2" x14ac:dyDescent="0.25">
      <c r="A15" s="10" t="s">
        <v>58</v>
      </c>
      <c r="B15" s="11">
        <v>148.68064516129033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76"/>
  <sheetViews>
    <sheetView topLeftCell="A334" workbookViewId="0">
      <selection activeCell="Q376" sqref="Q376"/>
    </sheetView>
  </sheetViews>
  <sheetFormatPr defaultRowHeight="15" x14ac:dyDescent="0.25"/>
  <cols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50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s="8" t="s">
        <v>51</v>
      </c>
      <c r="AG1" s="8" t="s">
        <v>52</v>
      </c>
      <c r="AH1" s="8" t="s">
        <v>53</v>
      </c>
      <c r="AI1" s="6" t="s">
        <v>65</v>
      </c>
      <c r="AJ1" s="8" t="s">
        <v>54</v>
      </c>
      <c r="AK1" s="8" t="s">
        <v>66</v>
      </c>
      <c r="AL1" s="8" t="s">
        <v>67</v>
      </c>
      <c r="AM1" s="8" t="s">
        <v>55</v>
      </c>
      <c r="AN1" s="8" t="s">
        <v>68</v>
      </c>
      <c r="AO1" s="8" t="s">
        <v>74</v>
      </c>
      <c r="AP1" s="8" t="s">
        <v>56</v>
      </c>
    </row>
    <row r="2" spans="1:42" x14ac:dyDescent="0.25">
      <c r="A2" t="s">
        <v>30</v>
      </c>
      <c r="B2">
        <v>2013</v>
      </c>
      <c r="C2" t="s">
        <v>31</v>
      </c>
      <c r="D2" s="3">
        <f>DATE(B2,MATCH(C2,{"January","February","March","April","May","June","July","August","September","October","November","December"},0),1)</f>
        <v>41275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>
        <v>100.3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  <c r="AF2">
        <f t="shared" ref="AF2:AF65" si="0">AVERAGE(E2:Q2)</f>
        <v>105.5153846153846</v>
      </c>
      <c r="AG2">
        <v>105.1</v>
      </c>
      <c r="AH2">
        <f>Table1[[#This Row],[Clothing and footwear]]</f>
        <v>106.4</v>
      </c>
      <c r="AI2">
        <v>100.3</v>
      </c>
      <c r="AJ2">
        <v>105.5</v>
      </c>
      <c r="AK2">
        <f>AVERAGE(Table1[[#This Row],[Household goods and services]],Table1[[#This Row],[Personal care and effects]])</f>
        <v>104.75</v>
      </c>
      <c r="AL2">
        <f>Table1[[#This Row],[Health]]</f>
        <v>104</v>
      </c>
      <c r="AM2">
        <v>103.3</v>
      </c>
      <c r="AN2">
        <f>AVERAGE(Table1[[#This Row],[Education]],Table1[[#This Row],[Recreation and amusement]])</f>
        <v>103.6</v>
      </c>
      <c r="AO2">
        <f>Table1[[#This Row],[Miscellaneous]]</f>
        <v>104</v>
      </c>
      <c r="AP2" t="str">
        <f t="shared" ref="AP2:AP65" si="1">IF(D2&lt;DATE(2020,3,1),"Pre-COVID",IF(D2=DATE(2020,3,1),"COVID Onset",IF(D2&lt;=DATE(2020,5,31),"Lockdown","Post-COVID")))</f>
        <v>Pre-COVID</v>
      </c>
    </row>
    <row r="3" spans="1:42" x14ac:dyDescent="0.25">
      <c r="A3" t="s">
        <v>33</v>
      </c>
      <c r="B3">
        <v>2013</v>
      </c>
      <c r="C3" t="s">
        <v>31</v>
      </c>
      <c r="D3" s="3">
        <f>DATE(B3,MATCH(C3,{"January","February","March","April","May","June","July","August","September","October","November","December"},0),1)</f>
        <v>41275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  <c r="AF3">
        <f t="shared" si="0"/>
        <v>105.87692307692308</v>
      </c>
      <c r="AG3">
        <v>105.2</v>
      </c>
      <c r="AH3">
        <f>Table1[[#This Row],[Clothing and footwear]]</f>
        <v>105.8</v>
      </c>
      <c r="AI3">
        <v>100.3</v>
      </c>
      <c r="AJ3">
        <v>105.4</v>
      </c>
      <c r="AK3">
        <f>AVERAGE(Table1[[#This Row],[Household goods and services]],Table1[[#This Row],[Personal care and effects]])</f>
        <v>104.55</v>
      </c>
      <c r="AL3">
        <f>Table1[[#This Row],[Health]]</f>
        <v>104.1</v>
      </c>
      <c r="AM3">
        <v>103.2</v>
      </c>
      <c r="AN3">
        <f>AVERAGE(Table1[[#This Row],[Education]],Table1[[#This Row],[Recreation and amusement]])</f>
        <v>103.2</v>
      </c>
      <c r="AO3">
        <f>Table1[[#This Row],[Miscellaneous]]</f>
        <v>103.7</v>
      </c>
      <c r="AP3" t="str">
        <f t="shared" si="1"/>
        <v>Pre-COVID</v>
      </c>
    </row>
    <row r="4" spans="1:42" x14ac:dyDescent="0.25">
      <c r="A4" t="s">
        <v>34</v>
      </c>
      <c r="B4">
        <v>2013</v>
      </c>
      <c r="C4" t="s">
        <v>31</v>
      </c>
      <c r="D4" s="3">
        <f>DATE(B4,MATCH(C4,{"January","February","March","April","May","June","July","August","September","October","November","December"},0),1)</f>
        <v>41275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  <c r="AF4">
        <f t="shared" si="0"/>
        <v>105.63846153846156</v>
      </c>
      <c r="AG4">
        <v>105.1</v>
      </c>
      <c r="AH4">
        <f>Table1[[#This Row],[Clothing and footwear]]</f>
        <v>106.2</v>
      </c>
      <c r="AI4">
        <v>100.3</v>
      </c>
      <c r="AJ4">
        <v>105.5</v>
      </c>
      <c r="AK4">
        <f>AVERAGE(Table1[[#This Row],[Household goods and services]],Table1[[#This Row],[Personal care and effects]])</f>
        <v>104.65</v>
      </c>
      <c r="AL4">
        <f>Table1[[#This Row],[Health]]</f>
        <v>104</v>
      </c>
      <c r="AM4">
        <v>103.2</v>
      </c>
      <c r="AN4">
        <f>AVERAGE(Table1[[#This Row],[Education]],Table1[[#This Row],[Recreation and amusement]])</f>
        <v>103.35</v>
      </c>
      <c r="AO4">
        <f>Table1[[#This Row],[Miscellaneous]]</f>
        <v>103.9</v>
      </c>
      <c r="AP4" t="str">
        <f t="shared" si="1"/>
        <v>Pre-COVID</v>
      </c>
    </row>
    <row r="5" spans="1:42" x14ac:dyDescent="0.25">
      <c r="A5" t="s">
        <v>30</v>
      </c>
      <c r="B5">
        <v>2013</v>
      </c>
      <c r="C5" t="s">
        <v>35</v>
      </c>
      <c r="D5" s="3">
        <f>DATE(B5,MATCH(C5,{"January","February","March","April","May","June","July","August","September","October","November","December"},0),1)</f>
        <v>41306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>
        <v>100.4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  <c r="AF5">
        <f t="shared" si="0"/>
        <v>106.18461538461537</v>
      </c>
      <c r="AG5">
        <v>105.6</v>
      </c>
      <c r="AH5">
        <f>Table1[[#This Row],[Clothing and footwear]]</f>
        <v>107</v>
      </c>
      <c r="AI5">
        <v>100.4</v>
      </c>
      <c r="AJ5">
        <v>106.2</v>
      </c>
      <c r="AK5">
        <f>AVERAGE(Table1[[#This Row],[Household goods and services]],Table1[[#This Row],[Personal care and effects]])</f>
        <v>104.9</v>
      </c>
      <c r="AL5">
        <f>Table1[[#This Row],[Health]]</f>
        <v>104.4</v>
      </c>
      <c r="AM5">
        <v>103.9</v>
      </c>
      <c r="AN5">
        <f>AVERAGE(Table1[[#This Row],[Education]],Table1[[#This Row],[Recreation and amusement]])</f>
        <v>104.05</v>
      </c>
      <c r="AO5">
        <f>Table1[[#This Row],[Miscellaneous]]</f>
        <v>104.4</v>
      </c>
      <c r="AP5" t="str">
        <f t="shared" si="1"/>
        <v>Pre-COVID</v>
      </c>
    </row>
    <row r="6" spans="1:42" x14ac:dyDescent="0.25">
      <c r="A6" t="s">
        <v>33</v>
      </c>
      <c r="B6">
        <v>2013</v>
      </c>
      <c r="C6" t="s">
        <v>35</v>
      </c>
      <c r="D6" s="3">
        <f>DATE(B6,MATCH(C6,{"January","February","March","April","May","June","July","August","September","October","November","December"},0),1)</f>
        <v>41306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  <c r="AF6">
        <f t="shared" si="0"/>
        <v>106.96923076923078</v>
      </c>
      <c r="AG6">
        <v>106</v>
      </c>
      <c r="AH6">
        <f>Table1[[#This Row],[Clothing and footwear]]</f>
        <v>106.4</v>
      </c>
      <c r="AI6">
        <v>100.4</v>
      </c>
      <c r="AJ6">
        <v>105.7</v>
      </c>
      <c r="AK6">
        <f>AVERAGE(Table1[[#This Row],[Household goods and services]],Table1[[#This Row],[Personal care and effects]])</f>
        <v>104.75</v>
      </c>
      <c r="AL6">
        <f>Table1[[#This Row],[Health]]</f>
        <v>104.7</v>
      </c>
      <c r="AM6">
        <v>104.4</v>
      </c>
      <c r="AN6">
        <f>AVERAGE(Table1[[#This Row],[Education]],Table1[[#This Row],[Recreation and amusement]])</f>
        <v>103.5</v>
      </c>
      <c r="AO6">
        <f>Table1[[#This Row],[Miscellaneous]]</f>
        <v>104.3</v>
      </c>
      <c r="AP6" t="str">
        <f t="shared" si="1"/>
        <v>Pre-COVID</v>
      </c>
    </row>
    <row r="7" spans="1:42" x14ac:dyDescent="0.25">
      <c r="A7" t="s">
        <v>34</v>
      </c>
      <c r="B7">
        <v>2013</v>
      </c>
      <c r="C7" t="s">
        <v>35</v>
      </c>
      <c r="D7" s="3">
        <f>DATE(B7,MATCH(C7,{"January","February","March","April","May","June","July","August","September","October","November","December"},0),1)</f>
        <v>41306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  <c r="AF7">
        <f t="shared" si="0"/>
        <v>106.47692307692309</v>
      </c>
      <c r="AG7">
        <v>105.7</v>
      </c>
      <c r="AH7">
        <f>Table1[[#This Row],[Clothing and footwear]]</f>
        <v>106.8</v>
      </c>
      <c r="AI7">
        <v>100.4</v>
      </c>
      <c r="AJ7">
        <v>106</v>
      </c>
      <c r="AK7">
        <f>AVERAGE(Table1[[#This Row],[Household goods and services]],Table1[[#This Row],[Personal care and effects]])</f>
        <v>104.85</v>
      </c>
      <c r="AL7">
        <f>Table1[[#This Row],[Health]]</f>
        <v>104.5</v>
      </c>
      <c r="AM7">
        <v>104.2</v>
      </c>
      <c r="AN7">
        <f>AVERAGE(Table1[[#This Row],[Education]],Table1[[#This Row],[Recreation and amusement]])</f>
        <v>103.75</v>
      </c>
      <c r="AO7">
        <f>Table1[[#This Row],[Miscellaneous]]</f>
        <v>104.4</v>
      </c>
      <c r="AP7" t="str">
        <f t="shared" si="1"/>
        <v>Pre-COVID</v>
      </c>
    </row>
    <row r="8" spans="1:42" x14ac:dyDescent="0.25">
      <c r="A8" t="s">
        <v>30</v>
      </c>
      <c r="B8">
        <v>2013</v>
      </c>
      <c r="C8" t="s">
        <v>36</v>
      </c>
      <c r="D8" s="3">
        <f>DATE(B8,MATCH(C8,{"January","February","March","April","May","June","July","August","September","October","November","December"},0),1)</f>
        <v>41334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>
        <v>100.4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  <c r="AF8">
        <f t="shared" si="0"/>
        <v>106.32307692307693</v>
      </c>
      <c r="AG8">
        <v>106.5</v>
      </c>
      <c r="AH8">
        <f>Table1[[#This Row],[Clothing and footwear]]</f>
        <v>107.5</v>
      </c>
      <c r="AI8">
        <v>100.4</v>
      </c>
      <c r="AJ8">
        <v>106.1</v>
      </c>
      <c r="AK8">
        <f>AVERAGE(Table1[[#This Row],[Household goods and services]],Table1[[#This Row],[Personal care and effects]])</f>
        <v>104.94999999999999</v>
      </c>
      <c r="AL8">
        <f>Table1[[#This Row],[Health]]</f>
        <v>104.7</v>
      </c>
      <c r="AM8">
        <v>104.6</v>
      </c>
      <c r="AN8">
        <f>AVERAGE(Table1[[#This Row],[Education]],Table1[[#This Row],[Recreation and amusement]])</f>
        <v>104.15</v>
      </c>
      <c r="AO8">
        <f>Table1[[#This Row],[Miscellaneous]]</f>
        <v>104.6</v>
      </c>
      <c r="AP8" t="str">
        <f t="shared" si="1"/>
        <v>Pre-COVID</v>
      </c>
    </row>
    <row r="9" spans="1:42" x14ac:dyDescent="0.25">
      <c r="A9" t="s">
        <v>33</v>
      </c>
      <c r="B9">
        <v>2013</v>
      </c>
      <c r="C9" t="s">
        <v>36</v>
      </c>
      <c r="D9" s="3">
        <f>DATE(B9,MATCH(C9,{"January","February","March","April","May","June","July","August","September","October","November","December"},0),1)</f>
        <v>41334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  <c r="AF9">
        <f t="shared" si="0"/>
        <v>106.67692307692307</v>
      </c>
      <c r="AG9">
        <v>106.8</v>
      </c>
      <c r="AH9">
        <f>Table1[[#This Row],[Clothing and footwear]]</f>
        <v>107</v>
      </c>
      <c r="AI9">
        <v>100.4</v>
      </c>
      <c r="AJ9">
        <v>106</v>
      </c>
      <c r="AK9">
        <f>AVERAGE(Table1[[#This Row],[Household goods and services]],Table1[[#This Row],[Personal care and effects]])</f>
        <v>104.95</v>
      </c>
      <c r="AL9">
        <f>Table1[[#This Row],[Health]]</f>
        <v>105.2</v>
      </c>
      <c r="AM9">
        <v>105.5</v>
      </c>
      <c r="AN9">
        <f>AVERAGE(Table1[[#This Row],[Education]],Table1[[#This Row],[Recreation and amusement]])</f>
        <v>103.65</v>
      </c>
      <c r="AO9">
        <f>Table1[[#This Row],[Miscellaneous]]</f>
        <v>104.9</v>
      </c>
      <c r="AP9" t="str">
        <f t="shared" si="1"/>
        <v>Pre-COVID</v>
      </c>
    </row>
    <row r="10" spans="1:42" x14ac:dyDescent="0.25">
      <c r="A10" t="s">
        <v>34</v>
      </c>
      <c r="B10">
        <v>2013</v>
      </c>
      <c r="C10" t="s">
        <v>36</v>
      </c>
      <c r="D10" s="3">
        <f>DATE(B10,MATCH(C10,{"January","February","March","April","May","June","July","August","September","October","November","December"},0),1)</f>
        <v>41334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  <c r="AF10">
        <f t="shared" si="0"/>
        <v>106.46153846153848</v>
      </c>
      <c r="AG10">
        <v>106.6</v>
      </c>
      <c r="AH10">
        <f>Table1[[#This Row],[Clothing and footwear]]</f>
        <v>107.3</v>
      </c>
      <c r="AI10">
        <v>100.4</v>
      </c>
      <c r="AJ10">
        <v>106.1</v>
      </c>
      <c r="AK10">
        <f>AVERAGE(Table1[[#This Row],[Household goods and services]],Table1[[#This Row],[Personal care and effects]])</f>
        <v>104.94999999999999</v>
      </c>
      <c r="AL10">
        <f>Table1[[#This Row],[Health]]</f>
        <v>104.9</v>
      </c>
      <c r="AM10">
        <v>105.1</v>
      </c>
      <c r="AN10">
        <f>AVERAGE(Table1[[#This Row],[Education]],Table1[[#This Row],[Recreation and amusement]])</f>
        <v>103.85</v>
      </c>
      <c r="AO10">
        <f>Table1[[#This Row],[Miscellaneous]]</f>
        <v>104.7</v>
      </c>
      <c r="AP10" t="str">
        <f t="shared" si="1"/>
        <v>Pre-COVID</v>
      </c>
    </row>
    <row r="11" spans="1:42" x14ac:dyDescent="0.25">
      <c r="A11" t="s">
        <v>30</v>
      </c>
      <c r="B11">
        <v>2013</v>
      </c>
      <c r="C11" t="s">
        <v>37</v>
      </c>
      <c r="D11" s="3">
        <f>DATE(B11,MATCH(C11,{"January","February","March","April","May","June","July","August","September","October","November","December"},0),1)</f>
        <v>41365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>
        <v>100.5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  <c r="AF11">
        <f t="shared" si="0"/>
        <v>106.6</v>
      </c>
      <c r="AG11">
        <v>107.1</v>
      </c>
      <c r="AH11">
        <f>Table1[[#This Row],[Clothing and footwear]]</f>
        <v>108</v>
      </c>
      <c r="AI11">
        <v>100.5</v>
      </c>
      <c r="AJ11">
        <v>106.5</v>
      </c>
      <c r="AK11">
        <f>AVERAGE(Table1[[#This Row],[Household goods and services]],Table1[[#This Row],[Personal care and effects]])</f>
        <v>104.4</v>
      </c>
      <c r="AL11">
        <f>Table1[[#This Row],[Health]]</f>
        <v>105.1</v>
      </c>
      <c r="AM11">
        <v>104.4</v>
      </c>
      <c r="AN11">
        <f>AVERAGE(Table1[[#This Row],[Education]],Table1[[#This Row],[Recreation and amusement]])</f>
        <v>104.65</v>
      </c>
      <c r="AO11">
        <f>Table1[[#This Row],[Miscellaneous]]</f>
        <v>104.6</v>
      </c>
      <c r="AP11" t="str">
        <f t="shared" si="1"/>
        <v>Pre-COVID</v>
      </c>
    </row>
    <row r="12" spans="1:42" x14ac:dyDescent="0.25">
      <c r="A12" t="s">
        <v>33</v>
      </c>
      <c r="B12">
        <v>2013</v>
      </c>
      <c r="C12" t="s">
        <v>37</v>
      </c>
      <c r="D12" s="3">
        <f>DATE(B12,MATCH(C12,{"January","February","March","April","May","June","July","August","September","October","November","December"},0),1)</f>
        <v>41365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  <c r="AF12">
        <f t="shared" si="0"/>
        <v>107.5153846153846</v>
      </c>
      <c r="AG12">
        <v>108.5</v>
      </c>
      <c r="AH12">
        <f>Table1[[#This Row],[Clothing and footwear]]</f>
        <v>107.7</v>
      </c>
      <c r="AI12">
        <v>100.5</v>
      </c>
      <c r="AJ12">
        <v>106.4</v>
      </c>
      <c r="AK12">
        <f>AVERAGE(Table1[[#This Row],[Household goods and services]],Table1[[#This Row],[Personal care and effects]])</f>
        <v>104.85</v>
      </c>
      <c r="AL12">
        <f>Table1[[#This Row],[Health]]</f>
        <v>105.7</v>
      </c>
      <c r="AM12">
        <v>105</v>
      </c>
      <c r="AN12">
        <f>AVERAGE(Table1[[#This Row],[Education]],Table1[[#This Row],[Recreation and amusement]])</f>
        <v>104.6</v>
      </c>
      <c r="AO12">
        <f>Table1[[#This Row],[Miscellaneous]]</f>
        <v>105.1</v>
      </c>
      <c r="AP12" t="str">
        <f t="shared" si="1"/>
        <v>Pre-COVID</v>
      </c>
    </row>
    <row r="13" spans="1:42" x14ac:dyDescent="0.25">
      <c r="A13" t="s">
        <v>34</v>
      </c>
      <c r="B13">
        <v>2013</v>
      </c>
      <c r="C13" t="s">
        <v>37</v>
      </c>
      <c r="D13" s="3">
        <f>DATE(B13,MATCH(C13,{"January","February","March","April","May","June","July","August","September","October","November","December"},0),1)</f>
        <v>41365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  <c r="AF13">
        <f t="shared" si="0"/>
        <v>106.93846153846154</v>
      </c>
      <c r="AG13">
        <v>107.5</v>
      </c>
      <c r="AH13">
        <f>Table1[[#This Row],[Clothing and footwear]]</f>
        <v>107.9</v>
      </c>
      <c r="AI13">
        <v>100.5</v>
      </c>
      <c r="AJ13">
        <v>106.5</v>
      </c>
      <c r="AK13">
        <f>AVERAGE(Table1[[#This Row],[Household goods and services]],Table1[[#This Row],[Personal care and effects]])</f>
        <v>104.6</v>
      </c>
      <c r="AL13">
        <f>Table1[[#This Row],[Health]]</f>
        <v>105.3</v>
      </c>
      <c r="AM13">
        <v>104.7</v>
      </c>
      <c r="AN13">
        <f>AVERAGE(Table1[[#This Row],[Education]],Table1[[#This Row],[Recreation and amusement]])</f>
        <v>104.6</v>
      </c>
      <c r="AO13">
        <f>Table1[[#This Row],[Miscellaneous]]</f>
        <v>104.8</v>
      </c>
      <c r="AP13" t="str">
        <f t="shared" si="1"/>
        <v>Pre-COVID</v>
      </c>
    </row>
    <row r="14" spans="1:42" x14ac:dyDescent="0.25">
      <c r="A14" t="s">
        <v>30</v>
      </c>
      <c r="B14">
        <v>2013</v>
      </c>
      <c r="C14" t="s">
        <v>38</v>
      </c>
      <c r="D14" s="3">
        <f>DATE(B14,MATCH(C14,{"January","February","March","April","May","June","July","August","September","October","November","December"},0),1)</f>
        <v>41395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>
        <v>100.5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  <c r="AF14">
        <f t="shared" si="0"/>
        <v>107.23076923076923</v>
      </c>
      <c r="AG14">
        <v>108.1</v>
      </c>
      <c r="AH14">
        <f>Table1[[#This Row],[Clothing and footwear]]</f>
        <v>108.6</v>
      </c>
      <c r="AI14">
        <v>100.5</v>
      </c>
      <c r="AJ14">
        <v>107.5</v>
      </c>
      <c r="AK14">
        <f>AVERAGE(Table1[[#This Row],[Household goods and services]],Table1[[#This Row],[Personal care and effects]])</f>
        <v>104.44999999999999</v>
      </c>
      <c r="AL14">
        <f>Table1[[#This Row],[Health]]</f>
        <v>105.7</v>
      </c>
      <c r="AM14">
        <v>104.1</v>
      </c>
      <c r="AN14">
        <f>AVERAGE(Table1[[#This Row],[Education]],Table1[[#This Row],[Recreation and amusement]])</f>
        <v>105.25</v>
      </c>
      <c r="AO14">
        <f>Table1[[#This Row],[Miscellaneous]]</f>
        <v>104.8</v>
      </c>
      <c r="AP14" t="str">
        <f t="shared" si="1"/>
        <v>Pre-COVID</v>
      </c>
    </row>
    <row r="15" spans="1:42" x14ac:dyDescent="0.25">
      <c r="A15" t="s">
        <v>33</v>
      </c>
      <c r="B15">
        <v>2013</v>
      </c>
      <c r="C15" t="s">
        <v>38</v>
      </c>
      <c r="D15" s="3">
        <f>DATE(B15,MATCH(C15,{"January","February","March","April","May","June","July","August","September","October","November","December"},0),1)</f>
        <v>41395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  <c r="AF15">
        <f t="shared" si="0"/>
        <v>109.0153846153846</v>
      </c>
      <c r="AG15">
        <v>109.8</v>
      </c>
      <c r="AH15">
        <f>Table1[[#This Row],[Clothing and footwear]]</f>
        <v>108.3</v>
      </c>
      <c r="AI15">
        <v>100.5</v>
      </c>
      <c r="AJ15">
        <v>107.2</v>
      </c>
      <c r="AK15">
        <f>AVERAGE(Table1[[#This Row],[Household goods and services]],Table1[[#This Row],[Personal care and effects]])</f>
        <v>104.85</v>
      </c>
      <c r="AL15">
        <f>Table1[[#This Row],[Health]]</f>
        <v>106.2</v>
      </c>
      <c r="AM15">
        <v>103.9</v>
      </c>
      <c r="AN15">
        <f>AVERAGE(Table1[[#This Row],[Education]],Table1[[#This Row],[Recreation and amusement]])</f>
        <v>105.15</v>
      </c>
      <c r="AO15">
        <f>Table1[[#This Row],[Miscellaneous]]</f>
        <v>104.9</v>
      </c>
      <c r="AP15" t="str">
        <f t="shared" si="1"/>
        <v>Pre-COVID</v>
      </c>
    </row>
    <row r="16" spans="1:42" x14ac:dyDescent="0.25">
      <c r="A16" t="s">
        <v>34</v>
      </c>
      <c r="B16">
        <v>2013</v>
      </c>
      <c r="C16" t="s">
        <v>38</v>
      </c>
      <c r="D16" s="3">
        <f>DATE(B16,MATCH(C16,{"January","February","March","April","May","June","July","August","September","October","November","December"},0),1)</f>
        <v>41395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  <c r="AF16">
        <f t="shared" si="0"/>
        <v>107.86153846153844</v>
      </c>
      <c r="AG16">
        <v>108.6</v>
      </c>
      <c r="AH16">
        <f>Table1[[#This Row],[Clothing and footwear]]</f>
        <v>108.5</v>
      </c>
      <c r="AI16">
        <v>100.5</v>
      </c>
      <c r="AJ16">
        <v>107.4</v>
      </c>
      <c r="AK16">
        <f>AVERAGE(Table1[[#This Row],[Household goods and services]],Table1[[#This Row],[Personal care and effects]])</f>
        <v>104.6</v>
      </c>
      <c r="AL16">
        <f>Table1[[#This Row],[Health]]</f>
        <v>105.9</v>
      </c>
      <c r="AM16">
        <v>104</v>
      </c>
      <c r="AN16">
        <f>AVERAGE(Table1[[#This Row],[Education]],Table1[[#This Row],[Recreation and amusement]])</f>
        <v>105.19999999999999</v>
      </c>
      <c r="AO16">
        <f>Table1[[#This Row],[Miscellaneous]]</f>
        <v>104.8</v>
      </c>
      <c r="AP16" t="str">
        <f t="shared" si="1"/>
        <v>Pre-COVID</v>
      </c>
    </row>
    <row r="17" spans="1:42" x14ac:dyDescent="0.25">
      <c r="A17" t="s">
        <v>30</v>
      </c>
      <c r="B17">
        <v>2013</v>
      </c>
      <c r="C17" t="s">
        <v>39</v>
      </c>
      <c r="D17" s="3">
        <f>DATE(B17,MATCH(C17,{"January","February","March","April","May","June","July","August","September","October","November","December"},0),1)</f>
        <v>41426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>
        <v>106.6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  <c r="AF17">
        <f t="shared" si="0"/>
        <v>109.23076923076923</v>
      </c>
      <c r="AG17">
        <v>109</v>
      </c>
      <c r="AH17">
        <f>Table1[[#This Row],[Clothing and footwear]]</f>
        <v>109.5</v>
      </c>
      <c r="AI17">
        <v>106.6</v>
      </c>
      <c r="AJ17">
        <v>108.5</v>
      </c>
      <c r="AK17">
        <f>AVERAGE(Table1[[#This Row],[Household goods and services]],Table1[[#This Row],[Personal care and effects]])</f>
        <v>105</v>
      </c>
      <c r="AL17">
        <f>Table1[[#This Row],[Health]]</f>
        <v>106.3</v>
      </c>
      <c r="AM17">
        <v>105</v>
      </c>
      <c r="AN17">
        <f>AVERAGE(Table1[[#This Row],[Education]],Table1[[#This Row],[Recreation and amusement]])</f>
        <v>106.05</v>
      </c>
      <c r="AO17">
        <f>Table1[[#This Row],[Miscellaneous]]</f>
        <v>105.5</v>
      </c>
      <c r="AP17" t="str">
        <f t="shared" si="1"/>
        <v>Pre-COVID</v>
      </c>
    </row>
    <row r="18" spans="1:42" x14ac:dyDescent="0.25">
      <c r="A18" t="s">
        <v>33</v>
      </c>
      <c r="B18">
        <v>2013</v>
      </c>
      <c r="C18" t="s">
        <v>39</v>
      </c>
      <c r="D18" s="3">
        <f>DATE(B18,MATCH(C18,{"January","February","March","April","May","June","July","August","September","October","November","December"},0),1)</f>
        <v>41426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  <c r="AF18">
        <f t="shared" si="0"/>
        <v>112.66153846153847</v>
      </c>
      <c r="AG18">
        <v>110.9</v>
      </c>
      <c r="AH18">
        <f>Table1[[#This Row],[Clothing and footwear]]</f>
        <v>108.9</v>
      </c>
      <c r="AI18">
        <v>106.6</v>
      </c>
      <c r="AJ18">
        <v>108</v>
      </c>
      <c r="AK18">
        <f>AVERAGE(Table1[[#This Row],[Household goods and services]],Table1[[#This Row],[Personal care and effects]])</f>
        <v>105.5</v>
      </c>
      <c r="AL18">
        <f>Table1[[#This Row],[Health]]</f>
        <v>106.5</v>
      </c>
      <c r="AM18">
        <v>105.2</v>
      </c>
      <c r="AN18">
        <f>AVERAGE(Table1[[#This Row],[Education]],Table1[[#This Row],[Recreation and amusement]])</f>
        <v>106.65</v>
      </c>
      <c r="AO18">
        <f>Table1[[#This Row],[Miscellaneous]]</f>
        <v>106.1</v>
      </c>
      <c r="AP18" t="str">
        <f t="shared" si="1"/>
        <v>Pre-COVID</v>
      </c>
    </row>
    <row r="19" spans="1:42" x14ac:dyDescent="0.25">
      <c r="A19" t="s">
        <v>34</v>
      </c>
      <c r="B19">
        <v>2013</v>
      </c>
      <c r="C19" t="s">
        <v>39</v>
      </c>
      <c r="D19" s="3">
        <f>DATE(B19,MATCH(C19,{"January","February","March","April","May","June","July","August","September","October","November","December"},0),1)</f>
        <v>41426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  <c r="AF19">
        <f t="shared" si="0"/>
        <v>110.46153846153847</v>
      </c>
      <c r="AG19">
        <v>109.5</v>
      </c>
      <c r="AH19">
        <f>Table1[[#This Row],[Clothing and footwear]]</f>
        <v>109.3</v>
      </c>
      <c r="AI19">
        <v>106.6</v>
      </c>
      <c r="AJ19">
        <v>108.3</v>
      </c>
      <c r="AK19">
        <f>AVERAGE(Table1[[#This Row],[Household goods and services]],Table1[[#This Row],[Personal care and effects]])</f>
        <v>105.19999999999999</v>
      </c>
      <c r="AL19">
        <f>Table1[[#This Row],[Health]]</f>
        <v>106.4</v>
      </c>
      <c r="AM19">
        <v>105.1</v>
      </c>
      <c r="AN19">
        <f>AVERAGE(Table1[[#This Row],[Education]],Table1[[#This Row],[Recreation and amusement]])</f>
        <v>106.4</v>
      </c>
      <c r="AO19">
        <f>Table1[[#This Row],[Miscellaneous]]</f>
        <v>105.8</v>
      </c>
      <c r="AP19" t="str">
        <f t="shared" si="1"/>
        <v>Pre-COVID</v>
      </c>
    </row>
    <row r="20" spans="1:42" x14ac:dyDescent="0.25">
      <c r="A20" t="s">
        <v>30</v>
      </c>
      <c r="B20">
        <v>2013</v>
      </c>
      <c r="C20" t="s">
        <v>40</v>
      </c>
      <c r="D20" s="3">
        <f>DATE(B20,MATCH(C20,{"January","February","March","April","May","June","July","August","September","October","November","December"},0),1)</f>
        <v>41456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>
        <v>107.7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  <c r="AF20">
        <f t="shared" si="0"/>
        <v>111.22307692307689</v>
      </c>
      <c r="AG20">
        <v>109.8</v>
      </c>
      <c r="AH20">
        <f>Table1[[#This Row],[Clothing and footwear]]</f>
        <v>110.3</v>
      </c>
      <c r="AI20">
        <v>107.7</v>
      </c>
      <c r="AJ20">
        <v>109.5</v>
      </c>
      <c r="AK20">
        <f>AVERAGE(Table1[[#This Row],[Household goods and services]],Table1[[#This Row],[Personal care and effects]])</f>
        <v>105.4</v>
      </c>
      <c r="AL20">
        <f>Table1[[#This Row],[Health]]</f>
        <v>106.9</v>
      </c>
      <c r="AM20">
        <v>106.8</v>
      </c>
      <c r="AN20">
        <f>AVERAGE(Table1[[#This Row],[Education]],Table1[[#This Row],[Recreation and amusement]])</f>
        <v>107.1</v>
      </c>
      <c r="AO20">
        <f>Table1[[#This Row],[Miscellaneous]]</f>
        <v>106.5</v>
      </c>
      <c r="AP20" t="str">
        <f t="shared" si="1"/>
        <v>Pre-COVID</v>
      </c>
    </row>
    <row r="21" spans="1:42" x14ac:dyDescent="0.25">
      <c r="A21" t="s">
        <v>33</v>
      </c>
      <c r="B21">
        <v>2013</v>
      </c>
      <c r="C21" t="s">
        <v>40</v>
      </c>
      <c r="D21" s="3">
        <f>DATE(B21,MATCH(C21,{"January","February","March","April","May","June","July","August","September","October","November","December"},0),1)</f>
        <v>41456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  <c r="AF21">
        <f t="shared" si="0"/>
        <v>114.56923076923077</v>
      </c>
      <c r="AG21">
        <v>111.7</v>
      </c>
      <c r="AH21">
        <f>Table1[[#This Row],[Clothing and footwear]]</f>
        <v>109.5</v>
      </c>
      <c r="AI21">
        <v>107.7</v>
      </c>
      <c r="AJ21">
        <v>108.6</v>
      </c>
      <c r="AK21">
        <f>AVERAGE(Table1[[#This Row],[Household goods and services]],Table1[[#This Row],[Personal care and effects]])</f>
        <v>105.65</v>
      </c>
      <c r="AL21">
        <f>Table1[[#This Row],[Health]]</f>
        <v>107.1</v>
      </c>
      <c r="AM21">
        <v>107.3</v>
      </c>
      <c r="AN21">
        <f>AVERAGE(Table1[[#This Row],[Education]],Table1[[#This Row],[Recreation and amusement]])</f>
        <v>108</v>
      </c>
      <c r="AO21">
        <f>Table1[[#This Row],[Miscellaneous]]</f>
        <v>107.3</v>
      </c>
      <c r="AP21" t="str">
        <f t="shared" si="1"/>
        <v>Pre-COVID</v>
      </c>
    </row>
    <row r="22" spans="1:42" x14ac:dyDescent="0.25">
      <c r="A22" t="s">
        <v>34</v>
      </c>
      <c r="B22">
        <v>2013</v>
      </c>
      <c r="C22" t="s">
        <v>40</v>
      </c>
      <c r="D22" s="3">
        <f>DATE(B22,MATCH(C22,{"January","February","March","April","May","June","July","August","September","October","November","December"},0),1)</f>
        <v>41456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  <c r="AF22">
        <f t="shared" si="0"/>
        <v>112.41538461538461</v>
      </c>
      <c r="AG22">
        <v>110.3</v>
      </c>
      <c r="AH22">
        <f>Table1[[#This Row],[Clothing and footwear]]</f>
        <v>110</v>
      </c>
      <c r="AI22">
        <v>107.7</v>
      </c>
      <c r="AJ22">
        <v>109.2</v>
      </c>
      <c r="AK22">
        <f>AVERAGE(Table1[[#This Row],[Household goods and services]],Table1[[#This Row],[Personal care and effects]])</f>
        <v>105.5</v>
      </c>
      <c r="AL22">
        <f>Table1[[#This Row],[Health]]</f>
        <v>107</v>
      </c>
      <c r="AM22">
        <v>107.1</v>
      </c>
      <c r="AN22">
        <f>AVERAGE(Table1[[#This Row],[Education]],Table1[[#This Row],[Recreation and amusement]])</f>
        <v>107.6</v>
      </c>
      <c r="AO22">
        <f>Table1[[#This Row],[Miscellaneous]]</f>
        <v>106.9</v>
      </c>
      <c r="AP22" t="str">
        <f t="shared" si="1"/>
        <v>Pre-COVID</v>
      </c>
    </row>
    <row r="23" spans="1:42" x14ac:dyDescent="0.25">
      <c r="A23" t="s">
        <v>30</v>
      </c>
      <c r="B23">
        <v>2013</v>
      </c>
      <c r="C23" t="s">
        <v>41</v>
      </c>
      <c r="D23" s="3">
        <f>DATE(B23,MATCH(C23,{"January","February","March","April","May","June","July","August","September","October","November","December"},0),1)</f>
        <v>41487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>
        <v>108.9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  <c r="AF23">
        <f t="shared" si="0"/>
        <v>112.5</v>
      </c>
      <c r="AG23">
        <v>110.7</v>
      </c>
      <c r="AH23">
        <f>Table1[[#This Row],[Clothing and footwear]]</f>
        <v>111.1</v>
      </c>
      <c r="AI23">
        <v>108.9</v>
      </c>
      <c r="AJ23">
        <v>109.9</v>
      </c>
      <c r="AK23">
        <f>AVERAGE(Table1[[#This Row],[Household goods and services]],Table1[[#This Row],[Personal care and effects]])</f>
        <v>106.85</v>
      </c>
      <c r="AL23">
        <f>Table1[[#This Row],[Health]]</f>
        <v>107.5</v>
      </c>
      <c r="AM23">
        <v>107.8</v>
      </c>
      <c r="AN23">
        <f>AVERAGE(Table1[[#This Row],[Education]],Table1[[#This Row],[Recreation and amusement]])</f>
        <v>107.75</v>
      </c>
      <c r="AO23">
        <f>Table1[[#This Row],[Miscellaneous]]</f>
        <v>107.5</v>
      </c>
      <c r="AP23" t="str">
        <f t="shared" si="1"/>
        <v>Pre-COVID</v>
      </c>
    </row>
    <row r="24" spans="1:42" x14ac:dyDescent="0.25">
      <c r="A24" t="s">
        <v>33</v>
      </c>
      <c r="B24">
        <v>2013</v>
      </c>
      <c r="C24" t="s">
        <v>41</v>
      </c>
      <c r="D24" s="3">
        <f>DATE(B24,MATCH(C24,{"January","February","March","April","May","June","July","August","September","October","November","December"},0),1)</f>
        <v>41487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  <c r="AF24">
        <f t="shared" si="0"/>
        <v>115.85384615384616</v>
      </c>
      <c r="AG24">
        <v>112.4</v>
      </c>
      <c r="AH24">
        <f>Table1[[#This Row],[Clothing and footwear]]</f>
        <v>110.2</v>
      </c>
      <c r="AI24">
        <v>108.9</v>
      </c>
      <c r="AJ24">
        <v>109.3</v>
      </c>
      <c r="AK24">
        <f>AVERAGE(Table1[[#This Row],[Household goods and services]],Table1[[#This Row],[Personal care and effects]])</f>
        <v>107.35</v>
      </c>
      <c r="AL24">
        <f>Table1[[#This Row],[Health]]</f>
        <v>107.6</v>
      </c>
      <c r="AM24">
        <v>108.1</v>
      </c>
      <c r="AN24">
        <f>AVERAGE(Table1[[#This Row],[Education]],Table1[[#This Row],[Recreation and amusement]])</f>
        <v>108.65</v>
      </c>
      <c r="AO24">
        <f>Table1[[#This Row],[Miscellaneous]]</f>
        <v>108.3</v>
      </c>
      <c r="AP24" t="str">
        <f t="shared" si="1"/>
        <v>Pre-COVID</v>
      </c>
    </row>
    <row r="25" spans="1:42" x14ac:dyDescent="0.25">
      <c r="A25" t="s">
        <v>34</v>
      </c>
      <c r="B25">
        <v>2013</v>
      </c>
      <c r="C25" t="s">
        <v>41</v>
      </c>
      <c r="D25" s="3">
        <f>DATE(B25,MATCH(C25,{"January","February","March","April","May","June","July","August","September","October","November","December"},0),1)</f>
        <v>41487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  <c r="AF25">
        <f t="shared" si="0"/>
        <v>113.64615384615385</v>
      </c>
      <c r="AG25">
        <v>111.2</v>
      </c>
      <c r="AH25">
        <f>Table1[[#This Row],[Clothing and footwear]]</f>
        <v>110.7</v>
      </c>
      <c r="AI25">
        <v>108.9</v>
      </c>
      <c r="AJ25">
        <v>109.7</v>
      </c>
      <c r="AK25">
        <f>AVERAGE(Table1[[#This Row],[Household goods and services]],Table1[[#This Row],[Personal care and effects]])</f>
        <v>107.05000000000001</v>
      </c>
      <c r="AL25">
        <f>Table1[[#This Row],[Health]]</f>
        <v>107.5</v>
      </c>
      <c r="AM25">
        <v>108</v>
      </c>
      <c r="AN25">
        <f>AVERAGE(Table1[[#This Row],[Education]],Table1[[#This Row],[Recreation and amusement]])</f>
        <v>108.25</v>
      </c>
      <c r="AO25">
        <f>Table1[[#This Row],[Miscellaneous]]</f>
        <v>107.9</v>
      </c>
      <c r="AP25" t="str">
        <f t="shared" si="1"/>
        <v>Pre-COVID</v>
      </c>
    </row>
    <row r="26" spans="1:42" x14ac:dyDescent="0.25">
      <c r="A26" t="s">
        <v>30</v>
      </c>
      <c r="B26">
        <v>2013</v>
      </c>
      <c r="C26" t="s">
        <v>42</v>
      </c>
      <c r="D26" s="3">
        <f>DATE(B26,MATCH(C26,{"January","February","March","April","May","June","July","August","September","October","November","December"},0),1)</f>
        <v>41518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>
        <v>109.7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  <c r="AF26">
        <f t="shared" si="0"/>
        <v>114.50000000000001</v>
      </c>
      <c r="AG26">
        <v>111.7</v>
      </c>
      <c r="AH26">
        <f>Table1[[#This Row],[Clothing and footwear]]</f>
        <v>112.5</v>
      </c>
      <c r="AI26">
        <v>109.7</v>
      </c>
      <c r="AJ26">
        <v>111.1</v>
      </c>
      <c r="AK26">
        <f>AVERAGE(Table1[[#This Row],[Household goods and services]],Table1[[#This Row],[Personal care and effects]])</f>
        <v>108.15</v>
      </c>
      <c r="AL26">
        <f>Table1[[#This Row],[Health]]</f>
        <v>108.3</v>
      </c>
      <c r="AM26">
        <v>109.3</v>
      </c>
      <c r="AN26">
        <f>AVERAGE(Table1[[#This Row],[Education]],Table1[[#This Row],[Recreation and amusement]])</f>
        <v>108.75</v>
      </c>
      <c r="AO26">
        <f>Table1[[#This Row],[Miscellaneous]]</f>
        <v>108.7</v>
      </c>
      <c r="AP26" t="str">
        <f t="shared" si="1"/>
        <v>Pre-COVID</v>
      </c>
    </row>
    <row r="27" spans="1:42" x14ac:dyDescent="0.25">
      <c r="A27" t="s">
        <v>33</v>
      </c>
      <c r="B27">
        <v>2013</v>
      </c>
      <c r="C27" t="s">
        <v>42</v>
      </c>
      <c r="D27" s="3">
        <f>DATE(B27,MATCH(C27,{"January","February","March","April","May","June","July","August","September","October","November","December"},0),1)</f>
        <v>41518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  <c r="AF27">
        <f t="shared" si="0"/>
        <v>115.41538461538462</v>
      </c>
      <c r="AG27">
        <v>112.9</v>
      </c>
      <c r="AH27">
        <f>Table1[[#This Row],[Clothing and footwear]]</f>
        <v>111.1</v>
      </c>
      <c r="AI27">
        <v>109.7</v>
      </c>
      <c r="AJ27">
        <v>109.5</v>
      </c>
      <c r="AK27">
        <f>AVERAGE(Table1[[#This Row],[Household goods and services]],Table1[[#This Row],[Personal care and effects]])</f>
        <v>108.25</v>
      </c>
      <c r="AL27">
        <f>Table1[[#This Row],[Health]]</f>
        <v>107.9</v>
      </c>
      <c r="AM27">
        <v>110.4</v>
      </c>
      <c r="AN27">
        <f>AVERAGE(Table1[[#This Row],[Education]],Table1[[#This Row],[Recreation and amusement]])</f>
        <v>109.30000000000001</v>
      </c>
      <c r="AO27">
        <f>Table1[[#This Row],[Miscellaneous]]</f>
        <v>109.4</v>
      </c>
      <c r="AP27" t="str">
        <f t="shared" si="1"/>
        <v>Pre-COVID</v>
      </c>
    </row>
    <row r="28" spans="1:42" x14ac:dyDescent="0.25">
      <c r="A28" t="s">
        <v>34</v>
      </c>
      <c r="B28">
        <v>2013</v>
      </c>
      <c r="C28" t="s">
        <v>42</v>
      </c>
      <c r="D28" s="3">
        <f>DATE(B28,MATCH(C28,{"January","February","March","April","May","June","July","August","September","October","November","December"},0),1)</f>
        <v>41518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  <c r="AF28">
        <f t="shared" si="0"/>
        <v>114.74615384615383</v>
      </c>
      <c r="AG28">
        <v>112</v>
      </c>
      <c r="AH28">
        <f>Table1[[#This Row],[Clothing and footwear]]</f>
        <v>111.9</v>
      </c>
      <c r="AI28">
        <v>109.7</v>
      </c>
      <c r="AJ28">
        <v>110.5</v>
      </c>
      <c r="AK28">
        <f>AVERAGE(Table1[[#This Row],[Household goods and services]],Table1[[#This Row],[Personal care and effects]])</f>
        <v>108.19999999999999</v>
      </c>
      <c r="AL28">
        <f>Table1[[#This Row],[Health]]</f>
        <v>108.1</v>
      </c>
      <c r="AM28">
        <v>109.9</v>
      </c>
      <c r="AN28">
        <f>AVERAGE(Table1[[#This Row],[Education]],Table1[[#This Row],[Recreation and amusement]])</f>
        <v>109.05</v>
      </c>
      <c r="AO28">
        <f>Table1[[#This Row],[Miscellaneous]]</f>
        <v>109</v>
      </c>
      <c r="AP28" t="str">
        <f t="shared" si="1"/>
        <v>Pre-COVID</v>
      </c>
    </row>
    <row r="29" spans="1:42" x14ac:dyDescent="0.25">
      <c r="A29" t="s">
        <v>30</v>
      </c>
      <c r="B29">
        <v>2013</v>
      </c>
      <c r="C29" t="s">
        <v>43</v>
      </c>
      <c r="D29" s="3">
        <f>DATE(B29,MATCH(C29,{"January","February","March","April","May","June","July","August","September","October","November","December"},0),1)</f>
        <v>41548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>
        <v>110.5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  <c r="AF29">
        <f t="shared" si="0"/>
        <v>116</v>
      </c>
      <c r="AG29">
        <v>112.2</v>
      </c>
      <c r="AH29">
        <f>Table1[[#This Row],[Clothing and footwear]]</f>
        <v>113.4</v>
      </c>
      <c r="AI29">
        <v>110.5</v>
      </c>
      <c r="AJ29">
        <v>111.6</v>
      </c>
      <c r="AK29">
        <f>AVERAGE(Table1[[#This Row],[Household goods and services]],Table1[[#This Row],[Personal care and effects]])</f>
        <v>108.95</v>
      </c>
      <c r="AL29">
        <f>Table1[[#This Row],[Health]]</f>
        <v>108.9</v>
      </c>
      <c r="AM29">
        <v>109.3</v>
      </c>
      <c r="AN29">
        <f>AVERAGE(Table1[[#This Row],[Education]],Table1[[#This Row],[Recreation and amusement]])</f>
        <v>109.25</v>
      </c>
      <c r="AO29">
        <f>Table1[[#This Row],[Miscellaneous]]</f>
        <v>109.1</v>
      </c>
      <c r="AP29" t="str">
        <f t="shared" si="1"/>
        <v>Pre-COVID</v>
      </c>
    </row>
    <row r="30" spans="1:42" x14ac:dyDescent="0.25">
      <c r="A30" t="s">
        <v>33</v>
      </c>
      <c r="B30">
        <v>2013</v>
      </c>
      <c r="C30" t="s">
        <v>43</v>
      </c>
      <c r="D30" s="3">
        <f>DATE(B30,MATCH(C30,{"January","February","March","April","May","June","July","August","September","October","November","December"},0),1)</f>
        <v>41548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  <c r="AF30">
        <f t="shared" si="0"/>
        <v>116.7076923076923</v>
      </c>
      <c r="AG30">
        <v>113.5</v>
      </c>
      <c r="AH30">
        <f>Table1[[#This Row],[Clothing and footwear]]</f>
        <v>112</v>
      </c>
      <c r="AI30">
        <v>110.5</v>
      </c>
      <c r="AJ30">
        <v>109.7</v>
      </c>
      <c r="AK30">
        <f>AVERAGE(Table1[[#This Row],[Household goods and services]],Table1[[#This Row],[Personal care and effects]])</f>
        <v>108.75</v>
      </c>
      <c r="AL30">
        <f>Table1[[#This Row],[Health]]</f>
        <v>108.2</v>
      </c>
      <c r="AM30">
        <v>109.7</v>
      </c>
      <c r="AN30">
        <f>AVERAGE(Table1[[#This Row],[Education]],Table1[[#This Row],[Recreation and amusement]])</f>
        <v>109.65</v>
      </c>
      <c r="AO30">
        <f>Table1[[#This Row],[Miscellaneous]]</f>
        <v>109.4</v>
      </c>
      <c r="AP30" t="str">
        <f t="shared" si="1"/>
        <v>Pre-COVID</v>
      </c>
    </row>
    <row r="31" spans="1:42" x14ac:dyDescent="0.25">
      <c r="A31" t="s">
        <v>34</v>
      </c>
      <c r="B31">
        <v>2013</v>
      </c>
      <c r="C31" t="s">
        <v>43</v>
      </c>
      <c r="D31" s="3">
        <f>DATE(B31,MATCH(C31,{"January","February","March","April","May","June","July","August","September","October","November","December"},0),1)</f>
        <v>41548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  <c r="AF31">
        <f t="shared" si="0"/>
        <v>116.16923076923079</v>
      </c>
      <c r="AG31">
        <v>112.5</v>
      </c>
      <c r="AH31">
        <f>Table1[[#This Row],[Clothing and footwear]]</f>
        <v>112.8</v>
      </c>
      <c r="AI31">
        <v>110.5</v>
      </c>
      <c r="AJ31">
        <v>110.9</v>
      </c>
      <c r="AK31">
        <f>AVERAGE(Table1[[#This Row],[Household goods and services]],Table1[[#This Row],[Personal care and effects]])</f>
        <v>108.85</v>
      </c>
      <c r="AL31">
        <f>Table1[[#This Row],[Health]]</f>
        <v>108.6</v>
      </c>
      <c r="AM31">
        <v>109.5</v>
      </c>
      <c r="AN31">
        <f>AVERAGE(Table1[[#This Row],[Education]],Table1[[#This Row],[Recreation and amusement]])</f>
        <v>109.44999999999999</v>
      </c>
      <c r="AO31">
        <f>Table1[[#This Row],[Miscellaneous]]</f>
        <v>109.2</v>
      </c>
      <c r="AP31" t="str">
        <f t="shared" si="1"/>
        <v>Pre-COVID</v>
      </c>
    </row>
    <row r="32" spans="1:42" x14ac:dyDescent="0.25">
      <c r="A32" t="s">
        <v>30</v>
      </c>
      <c r="B32">
        <v>2013</v>
      </c>
      <c r="C32" t="s">
        <v>45</v>
      </c>
      <c r="D32" s="3">
        <f>DATE(B32,MATCH(C32,{"January","February","March","April","May","June","July","August","September","October","November","December"},0),1)</f>
        <v>41579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>
        <v>111.1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  <c r="AF32">
        <f t="shared" si="0"/>
        <v>118.21538461538461</v>
      </c>
      <c r="AG32">
        <v>112.8</v>
      </c>
      <c r="AH32">
        <f>Table1[[#This Row],[Clothing and footwear]]</f>
        <v>114.4</v>
      </c>
      <c r="AI32">
        <v>111.1</v>
      </c>
      <c r="AJ32">
        <v>112.6</v>
      </c>
      <c r="AK32">
        <f>AVERAGE(Table1[[#This Row],[Household goods and services]],Table1[[#This Row],[Personal care and effects]])</f>
        <v>109.75</v>
      </c>
      <c r="AL32">
        <f>Table1[[#This Row],[Health]]</f>
        <v>109.7</v>
      </c>
      <c r="AM32">
        <v>109.6</v>
      </c>
      <c r="AN32">
        <f>AVERAGE(Table1[[#This Row],[Education]],Table1[[#This Row],[Recreation and amusement]])</f>
        <v>109.85</v>
      </c>
      <c r="AO32">
        <f>Table1[[#This Row],[Miscellaneous]]</f>
        <v>109.8</v>
      </c>
      <c r="AP32" t="str">
        <f t="shared" si="1"/>
        <v>Pre-COVID</v>
      </c>
    </row>
    <row r="33" spans="1:42" x14ac:dyDescent="0.25">
      <c r="A33" t="s">
        <v>33</v>
      </c>
      <c r="B33">
        <v>2013</v>
      </c>
      <c r="C33" t="s">
        <v>45</v>
      </c>
      <c r="D33" s="3">
        <f>DATE(B33,MATCH(C33,{"January","February","March","April","May","June","July","August","September","October","November","December"},0),1)</f>
        <v>41579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  <c r="AF33">
        <f t="shared" si="0"/>
        <v>118.8153846153846</v>
      </c>
      <c r="AG33">
        <v>114.1</v>
      </c>
      <c r="AH33">
        <f>Table1[[#This Row],[Clothing and footwear]]</f>
        <v>113</v>
      </c>
      <c r="AI33">
        <v>111.1</v>
      </c>
      <c r="AJ33">
        <v>110</v>
      </c>
      <c r="AK33">
        <f>AVERAGE(Table1[[#This Row],[Household goods and services]],Table1[[#This Row],[Personal care and effects]])</f>
        <v>109.4</v>
      </c>
      <c r="AL33">
        <f>Table1[[#This Row],[Health]]</f>
        <v>108.6</v>
      </c>
      <c r="AM33">
        <v>109.5</v>
      </c>
      <c r="AN33">
        <f>AVERAGE(Table1[[#This Row],[Education]],Table1[[#This Row],[Recreation and amusement]])</f>
        <v>109.9</v>
      </c>
      <c r="AO33">
        <f>Table1[[#This Row],[Miscellaneous]]</f>
        <v>109.6</v>
      </c>
      <c r="AP33" t="str">
        <f t="shared" si="1"/>
        <v>Pre-COVID</v>
      </c>
    </row>
    <row r="34" spans="1:42" x14ac:dyDescent="0.25">
      <c r="A34" t="s">
        <v>34</v>
      </c>
      <c r="B34">
        <v>2013</v>
      </c>
      <c r="C34" t="s">
        <v>45</v>
      </c>
      <c r="D34" s="3">
        <f>DATE(B34,MATCH(C34,{"January","February","March","April","May","June","July","August","September","October","November","December"},0),1)</f>
        <v>41579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  <c r="AF34">
        <f t="shared" si="0"/>
        <v>118.36923076923077</v>
      </c>
      <c r="AG34">
        <v>113.1</v>
      </c>
      <c r="AH34">
        <f>Table1[[#This Row],[Clothing and footwear]]</f>
        <v>113.8</v>
      </c>
      <c r="AI34">
        <v>111.1</v>
      </c>
      <c r="AJ34">
        <v>111.6</v>
      </c>
      <c r="AK34">
        <f>AVERAGE(Table1[[#This Row],[Household goods and services]],Table1[[#This Row],[Personal care and effects]])</f>
        <v>109.6</v>
      </c>
      <c r="AL34">
        <f>Table1[[#This Row],[Health]]</f>
        <v>109.3</v>
      </c>
      <c r="AM34">
        <v>109.5</v>
      </c>
      <c r="AN34">
        <f>AVERAGE(Table1[[#This Row],[Education]],Table1[[#This Row],[Recreation and amusement]])</f>
        <v>109.9</v>
      </c>
      <c r="AO34">
        <f>Table1[[#This Row],[Miscellaneous]]</f>
        <v>109.7</v>
      </c>
      <c r="AP34" t="str">
        <f t="shared" si="1"/>
        <v>Pre-COVID</v>
      </c>
    </row>
    <row r="35" spans="1:42" x14ac:dyDescent="0.25">
      <c r="A35" t="s">
        <v>30</v>
      </c>
      <c r="B35">
        <v>2013</v>
      </c>
      <c r="C35" t="s">
        <v>46</v>
      </c>
      <c r="D35" s="3">
        <f>DATE(B35,MATCH(C35,{"January","February","March","April","May","June","July","August","September","October","November","December"},0),1)</f>
        <v>41609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>
        <v>110.7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  <c r="AF35">
        <f t="shared" si="0"/>
        <v>116.07692307692308</v>
      </c>
      <c r="AG35">
        <v>113.6</v>
      </c>
      <c r="AH35">
        <f>Table1[[#This Row],[Clothing and footwear]]</f>
        <v>115.5</v>
      </c>
      <c r="AI35">
        <v>110.7</v>
      </c>
      <c r="AJ35">
        <v>112.8</v>
      </c>
      <c r="AK35">
        <f>AVERAGE(Table1[[#This Row],[Household goods and services]],Table1[[#This Row],[Personal care and effects]])</f>
        <v>110.1</v>
      </c>
      <c r="AL35">
        <f>Table1[[#This Row],[Health]]</f>
        <v>110.1</v>
      </c>
      <c r="AM35">
        <v>109.9</v>
      </c>
      <c r="AN35">
        <f>AVERAGE(Table1[[#This Row],[Education]],Table1[[#This Row],[Recreation and amusement]])</f>
        <v>110.4</v>
      </c>
      <c r="AO35">
        <f>Table1[[#This Row],[Miscellaneous]]</f>
        <v>110.1</v>
      </c>
      <c r="AP35" t="str">
        <f t="shared" si="1"/>
        <v>Pre-COVID</v>
      </c>
    </row>
    <row r="36" spans="1:42" x14ac:dyDescent="0.25">
      <c r="A36" t="s">
        <v>33</v>
      </c>
      <c r="B36">
        <v>2013</v>
      </c>
      <c r="C36" t="s">
        <v>46</v>
      </c>
      <c r="D36" s="3">
        <f>DATE(B36,MATCH(C36,{"January","February","March","April","May","June","July","August","September","October","November","December"},0),1)</f>
        <v>41609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  <c r="AF36">
        <f t="shared" si="0"/>
        <v>115.72307692307693</v>
      </c>
      <c r="AG36">
        <v>115</v>
      </c>
      <c r="AH36">
        <f>Table1[[#This Row],[Clothing and footwear]]</f>
        <v>113.7</v>
      </c>
      <c r="AI36">
        <v>110.7</v>
      </c>
      <c r="AJ36">
        <v>110.4</v>
      </c>
      <c r="AK36">
        <f>AVERAGE(Table1[[#This Row],[Household goods and services]],Table1[[#This Row],[Personal care and effects]])</f>
        <v>109.5</v>
      </c>
      <c r="AL36">
        <f>Table1[[#This Row],[Health]]</f>
        <v>109</v>
      </c>
      <c r="AM36">
        <v>109.7</v>
      </c>
      <c r="AN36">
        <f>AVERAGE(Table1[[#This Row],[Education]],Table1[[#This Row],[Recreation and amusement]])</f>
        <v>110.15</v>
      </c>
      <c r="AO36">
        <f>Table1[[#This Row],[Miscellaneous]]</f>
        <v>109.8</v>
      </c>
      <c r="AP36" t="str">
        <f t="shared" si="1"/>
        <v>Pre-COVID</v>
      </c>
    </row>
    <row r="37" spans="1:42" x14ac:dyDescent="0.25">
      <c r="A37" t="s">
        <v>34</v>
      </c>
      <c r="B37">
        <v>2013</v>
      </c>
      <c r="C37" t="s">
        <v>46</v>
      </c>
      <c r="D37" s="3">
        <f>DATE(B37,MATCH(C37,{"January","February","March","April","May","June","July","August","September","October","November","December"},0),1)</f>
        <v>41609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  <c r="AF37">
        <f t="shared" si="0"/>
        <v>115.94615384615386</v>
      </c>
      <c r="AG37">
        <v>114</v>
      </c>
      <c r="AH37">
        <f>Table1[[#This Row],[Clothing and footwear]]</f>
        <v>114.8</v>
      </c>
      <c r="AI37">
        <v>110.7</v>
      </c>
      <c r="AJ37">
        <v>111.9</v>
      </c>
      <c r="AK37">
        <f>AVERAGE(Table1[[#This Row],[Household goods and services]],Table1[[#This Row],[Personal care and effects]])</f>
        <v>109.80000000000001</v>
      </c>
      <c r="AL37">
        <f>Table1[[#This Row],[Health]]</f>
        <v>109.7</v>
      </c>
      <c r="AM37">
        <v>109.8</v>
      </c>
      <c r="AN37">
        <f>AVERAGE(Table1[[#This Row],[Education]],Table1[[#This Row],[Recreation and amusement]])</f>
        <v>110.25</v>
      </c>
      <c r="AO37">
        <f>Table1[[#This Row],[Miscellaneous]]</f>
        <v>110</v>
      </c>
      <c r="AP37" t="str">
        <f t="shared" si="1"/>
        <v>Pre-COVID</v>
      </c>
    </row>
    <row r="38" spans="1:42" x14ac:dyDescent="0.25">
      <c r="A38" t="s">
        <v>30</v>
      </c>
      <c r="B38">
        <v>2014</v>
      </c>
      <c r="C38" t="s">
        <v>31</v>
      </c>
      <c r="D38" s="3">
        <f>DATE(B38,MATCH(C38,{"January","February","March","April","May","June","July","August","September","October","November","December"},0),1)</f>
        <v>41640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>
        <v>111.6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  <c r="AF38">
        <f t="shared" si="0"/>
        <v>114.35384615384616</v>
      </c>
      <c r="AG38">
        <v>114</v>
      </c>
      <c r="AH38">
        <f>Table1[[#This Row],[Clothing and footwear]]</f>
        <v>116.2</v>
      </c>
      <c r="AI38">
        <v>111.6</v>
      </c>
      <c r="AJ38">
        <v>113</v>
      </c>
      <c r="AK38">
        <f>AVERAGE(Table1[[#This Row],[Household goods and services]],Table1[[#This Row],[Personal care and effects]])</f>
        <v>110.44999999999999</v>
      </c>
      <c r="AL38">
        <f>Table1[[#This Row],[Health]]</f>
        <v>110.6</v>
      </c>
      <c r="AM38">
        <v>110.5</v>
      </c>
      <c r="AN38">
        <f>AVERAGE(Table1[[#This Row],[Education]],Table1[[#This Row],[Recreation and amusement]])</f>
        <v>110.69999999999999</v>
      </c>
      <c r="AO38">
        <f>Table1[[#This Row],[Miscellaneous]]</f>
        <v>110.6</v>
      </c>
      <c r="AP38" t="str">
        <f t="shared" si="1"/>
        <v>Pre-COVID</v>
      </c>
    </row>
    <row r="39" spans="1:42" x14ac:dyDescent="0.25">
      <c r="A39" t="s">
        <v>33</v>
      </c>
      <c r="B39">
        <v>2014</v>
      </c>
      <c r="C39" t="s">
        <v>31</v>
      </c>
      <c r="D39" s="3">
        <f>DATE(B39,MATCH(C39,{"January","February","March","April","May","June","July","August","September","October","November","December"},0),1)</f>
        <v>41640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  <c r="AF39">
        <f t="shared" si="0"/>
        <v>114.17692307692307</v>
      </c>
      <c r="AG39">
        <v>115.7</v>
      </c>
      <c r="AH39">
        <f>Table1[[#This Row],[Clothing and footwear]]</f>
        <v>114.3</v>
      </c>
      <c r="AI39">
        <v>111.6</v>
      </c>
      <c r="AJ39">
        <v>111</v>
      </c>
      <c r="AK39">
        <f>AVERAGE(Table1[[#This Row],[Household goods and services]],Table1[[#This Row],[Personal care and effects]])</f>
        <v>109.95</v>
      </c>
      <c r="AL39">
        <f>Table1[[#This Row],[Health]]</f>
        <v>109.7</v>
      </c>
      <c r="AM39">
        <v>110.8</v>
      </c>
      <c r="AN39">
        <f>AVERAGE(Table1[[#This Row],[Education]],Table1[[#This Row],[Recreation and amusement]])</f>
        <v>110.65</v>
      </c>
      <c r="AO39">
        <f>Table1[[#This Row],[Miscellaneous]]</f>
        <v>110.5</v>
      </c>
      <c r="AP39" t="str">
        <f t="shared" si="1"/>
        <v>Pre-COVID</v>
      </c>
    </row>
    <row r="40" spans="1:42" x14ac:dyDescent="0.25">
      <c r="A40" t="s">
        <v>34</v>
      </c>
      <c r="B40">
        <v>2014</v>
      </c>
      <c r="C40" t="s">
        <v>31</v>
      </c>
      <c r="D40" s="3">
        <f>DATE(B40,MATCH(C40,{"January","February","March","April","May","June","July","August","September","October","November","December"},0),1)</f>
        <v>41640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  <c r="AF40">
        <f t="shared" si="0"/>
        <v>114.29230769230767</v>
      </c>
      <c r="AG40">
        <v>114.5</v>
      </c>
      <c r="AH40">
        <f>Table1[[#This Row],[Clothing and footwear]]</f>
        <v>115.4</v>
      </c>
      <c r="AI40">
        <v>111.6</v>
      </c>
      <c r="AJ40">
        <v>112.2</v>
      </c>
      <c r="AK40">
        <f>AVERAGE(Table1[[#This Row],[Household goods and services]],Table1[[#This Row],[Personal care and effects]])</f>
        <v>110.25</v>
      </c>
      <c r="AL40">
        <f>Table1[[#This Row],[Health]]</f>
        <v>110.3</v>
      </c>
      <c r="AM40">
        <v>110.7</v>
      </c>
      <c r="AN40">
        <f>AVERAGE(Table1[[#This Row],[Education]],Table1[[#This Row],[Recreation and amusement]])</f>
        <v>110.65</v>
      </c>
      <c r="AO40">
        <f>Table1[[#This Row],[Miscellaneous]]</f>
        <v>110.6</v>
      </c>
      <c r="AP40" t="str">
        <f t="shared" si="1"/>
        <v>Pre-COVID</v>
      </c>
    </row>
    <row r="41" spans="1:42" x14ac:dyDescent="0.25">
      <c r="A41" t="s">
        <v>30</v>
      </c>
      <c r="B41">
        <v>2014</v>
      </c>
      <c r="C41" t="s">
        <v>35</v>
      </c>
      <c r="D41" s="3">
        <f>DATE(B41,MATCH(C41,{"January","February","March","April","May","June","July","August","September","October","November","December"},0),1)</f>
        <v>41671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>
        <v>112.5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  <c r="AF41">
        <f t="shared" si="0"/>
        <v>114.01538461538462</v>
      </c>
      <c r="AG41">
        <v>114.2</v>
      </c>
      <c r="AH41">
        <f>Table1[[#This Row],[Clothing and footwear]]</f>
        <v>116.7</v>
      </c>
      <c r="AI41">
        <v>112.5</v>
      </c>
      <c r="AJ41">
        <v>113.2</v>
      </c>
      <c r="AK41">
        <f>AVERAGE(Table1[[#This Row],[Household goods and services]],Table1[[#This Row],[Personal care and effects]])</f>
        <v>110.80000000000001</v>
      </c>
      <c r="AL41">
        <f>Table1[[#This Row],[Health]]</f>
        <v>110.9</v>
      </c>
      <c r="AM41">
        <v>110.8</v>
      </c>
      <c r="AN41">
        <f>AVERAGE(Table1[[#This Row],[Education]],Table1[[#This Row],[Recreation and amusement]])</f>
        <v>110.95</v>
      </c>
      <c r="AO41">
        <f>Table1[[#This Row],[Miscellaneous]]</f>
        <v>110.9</v>
      </c>
      <c r="AP41" t="str">
        <f t="shared" si="1"/>
        <v>Pre-COVID</v>
      </c>
    </row>
    <row r="42" spans="1:42" x14ac:dyDescent="0.25">
      <c r="A42" t="s">
        <v>33</v>
      </c>
      <c r="B42">
        <v>2014</v>
      </c>
      <c r="C42" t="s">
        <v>35</v>
      </c>
      <c r="D42" s="3">
        <f>DATE(B42,MATCH(C42,{"January","February","March","April","May","June","July","August","September","October","November","December"},0),1)</f>
        <v>41671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  <c r="AF42">
        <f t="shared" si="0"/>
        <v>113.53846153846153</v>
      </c>
      <c r="AG42">
        <v>116.2</v>
      </c>
      <c r="AH42">
        <f>Table1[[#This Row],[Clothing and footwear]]</f>
        <v>114.7</v>
      </c>
      <c r="AI42">
        <v>112.5</v>
      </c>
      <c r="AJ42">
        <v>111.1</v>
      </c>
      <c r="AK42">
        <f>AVERAGE(Table1[[#This Row],[Household goods and services]],Table1[[#This Row],[Personal care and effects]])</f>
        <v>110.65</v>
      </c>
      <c r="AL42">
        <f>Table1[[#This Row],[Health]]</f>
        <v>110.4</v>
      </c>
      <c r="AM42">
        <v>111.3</v>
      </c>
      <c r="AN42">
        <f>AVERAGE(Table1[[#This Row],[Education]],Table1[[#This Row],[Recreation and amusement]])</f>
        <v>110.94999999999999</v>
      </c>
      <c r="AO42">
        <f>Table1[[#This Row],[Miscellaneous]]</f>
        <v>111</v>
      </c>
      <c r="AP42" t="str">
        <f t="shared" si="1"/>
        <v>Pre-COVID</v>
      </c>
    </row>
    <row r="43" spans="1:42" x14ac:dyDescent="0.25">
      <c r="A43" t="s">
        <v>34</v>
      </c>
      <c r="B43">
        <v>2014</v>
      </c>
      <c r="C43" t="s">
        <v>35</v>
      </c>
      <c r="D43" s="3">
        <f>DATE(B43,MATCH(C43,{"January","February","March","April","May","June","July","August","September","October","November","December"},0),1)</f>
        <v>41671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  <c r="AF43">
        <f t="shared" si="0"/>
        <v>113.85384615384615</v>
      </c>
      <c r="AG43">
        <v>114.7</v>
      </c>
      <c r="AH43">
        <f>Table1[[#This Row],[Clothing and footwear]]</f>
        <v>115.9</v>
      </c>
      <c r="AI43">
        <v>112.5</v>
      </c>
      <c r="AJ43">
        <v>112.4</v>
      </c>
      <c r="AK43">
        <f>AVERAGE(Table1[[#This Row],[Household goods and services]],Table1[[#This Row],[Personal care and effects]])</f>
        <v>110.75</v>
      </c>
      <c r="AL43">
        <f>Table1[[#This Row],[Health]]</f>
        <v>110.7</v>
      </c>
      <c r="AM43">
        <v>111.1</v>
      </c>
      <c r="AN43">
        <f>AVERAGE(Table1[[#This Row],[Education]],Table1[[#This Row],[Recreation and amusement]])</f>
        <v>110.94999999999999</v>
      </c>
      <c r="AO43">
        <f>Table1[[#This Row],[Miscellaneous]]</f>
        <v>110.9</v>
      </c>
      <c r="AP43" t="str">
        <f t="shared" si="1"/>
        <v>Pre-COVID</v>
      </c>
    </row>
    <row r="44" spans="1:42" x14ac:dyDescent="0.25">
      <c r="A44" t="s">
        <v>30</v>
      </c>
      <c r="B44">
        <v>2014</v>
      </c>
      <c r="C44" t="s">
        <v>36</v>
      </c>
      <c r="D44" s="3">
        <f>DATE(B44,MATCH(C44,{"January","February","March","April","May","June","July","August","September","October","November","December"},0),1)</f>
        <v>41699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>
        <v>113.2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  <c r="AF44">
        <f t="shared" si="0"/>
        <v>114.72307692307693</v>
      </c>
      <c r="AG44">
        <v>114.6</v>
      </c>
      <c r="AH44">
        <f>Table1[[#This Row],[Clothing and footwear]]</f>
        <v>117.2</v>
      </c>
      <c r="AI44">
        <v>113.2</v>
      </c>
      <c r="AJ44">
        <v>113.4</v>
      </c>
      <c r="AK44">
        <f>AVERAGE(Table1[[#This Row],[Household goods and services]],Table1[[#This Row],[Personal care and effects]])</f>
        <v>111.15</v>
      </c>
      <c r="AL44">
        <f>Table1[[#This Row],[Health]]</f>
        <v>111.4</v>
      </c>
      <c r="AM44">
        <v>111.2</v>
      </c>
      <c r="AN44">
        <f>AVERAGE(Table1[[#This Row],[Education]],Table1[[#This Row],[Recreation and amusement]])</f>
        <v>111.30000000000001</v>
      </c>
      <c r="AO44">
        <f>Table1[[#This Row],[Miscellaneous]]</f>
        <v>111.3</v>
      </c>
      <c r="AP44" t="str">
        <f t="shared" si="1"/>
        <v>Pre-COVID</v>
      </c>
    </row>
    <row r="45" spans="1:42" x14ac:dyDescent="0.25">
      <c r="A45" t="s">
        <v>33</v>
      </c>
      <c r="B45">
        <v>2014</v>
      </c>
      <c r="C45" t="s">
        <v>36</v>
      </c>
      <c r="D45" s="3">
        <f>DATE(B45,MATCH(C45,{"January","February","March","April","May","June","July","August","September","October","November","December"},0),1)</f>
        <v>41699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  <c r="AF45">
        <f t="shared" si="0"/>
        <v>114.07692307692308</v>
      </c>
      <c r="AG45">
        <v>116.7</v>
      </c>
      <c r="AH45">
        <f>Table1[[#This Row],[Clothing and footwear]]</f>
        <v>115.2</v>
      </c>
      <c r="AI45">
        <v>113.2</v>
      </c>
      <c r="AJ45">
        <v>110.9</v>
      </c>
      <c r="AK45">
        <f>AVERAGE(Table1[[#This Row],[Household goods and services]],Table1[[#This Row],[Personal care and effects]])</f>
        <v>111.1</v>
      </c>
      <c r="AL45">
        <f>Table1[[#This Row],[Health]]</f>
        <v>110.8</v>
      </c>
      <c r="AM45">
        <v>111.6</v>
      </c>
      <c r="AN45">
        <f>AVERAGE(Table1[[#This Row],[Education]],Table1[[#This Row],[Recreation and amusement]])</f>
        <v>111.35</v>
      </c>
      <c r="AO45">
        <f>Table1[[#This Row],[Miscellaneous]]</f>
        <v>111.4</v>
      </c>
      <c r="AP45" t="str">
        <f t="shared" si="1"/>
        <v>Pre-COVID</v>
      </c>
    </row>
    <row r="46" spans="1:42" x14ac:dyDescent="0.25">
      <c r="A46" t="s">
        <v>34</v>
      </c>
      <c r="B46">
        <v>2014</v>
      </c>
      <c r="C46" t="s">
        <v>36</v>
      </c>
      <c r="D46" s="3">
        <f>DATE(B46,MATCH(C46,{"January","February","March","April","May","June","July","August","September","October","November","December"},0),1)</f>
        <v>41699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  <c r="AF46">
        <f t="shared" si="0"/>
        <v>114.48461538461537</v>
      </c>
      <c r="AG46">
        <v>115.2</v>
      </c>
      <c r="AH46">
        <f>Table1[[#This Row],[Clothing and footwear]]</f>
        <v>116.4</v>
      </c>
      <c r="AI46">
        <v>113.2</v>
      </c>
      <c r="AJ46">
        <v>112.5</v>
      </c>
      <c r="AK46">
        <f>AVERAGE(Table1[[#This Row],[Household goods and services]],Table1[[#This Row],[Personal care and effects]])</f>
        <v>111.1</v>
      </c>
      <c r="AL46">
        <f>Table1[[#This Row],[Health]]</f>
        <v>111.2</v>
      </c>
      <c r="AM46">
        <v>111.4</v>
      </c>
      <c r="AN46">
        <f>AVERAGE(Table1[[#This Row],[Education]],Table1[[#This Row],[Recreation and amusement]])</f>
        <v>111.3</v>
      </c>
      <c r="AO46">
        <f>Table1[[#This Row],[Miscellaneous]]</f>
        <v>111.3</v>
      </c>
      <c r="AP46" t="str">
        <f t="shared" si="1"/>
        <v>Pre-COVID</v>
      </c>
    </row>
    <row r="47" spans="1:42" x14ac:dyDescent="0.25">
      <c r="A47" t="s">
        <v>30</v>
      </c>
      <c r="B47">
        <v>2014</v>
      </c>
      <c r="C47" t="s">
        <v>37</v>
      </c>
      <c r="D47" s="3">
        <f>DATE(B47,MATCH(C47,{"January","February","March","April","May","June","July","August","September","October","November","December"},0),1)</f>
        <v>41730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>
        <v>113.9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  <c r="AF47">
        <f t="shared" si="0"/>
        <v>115.70000000000002</v>
      </c>
      <c r="AG47">
        <v>115.4</v>
      </c>
      <c r="AH47">
        <f>Table1[[#This Row],[Clothing and footwear]]</f>
        <v>117.8</v>
      </c>
      <c r="AI47">
        <v>113.9</v>
      </c>
      <c r="AJ47">
        <v>113.4</v>
      </c>
      <c r="AK47">
        <f>AVERAGE(Table1[[#This Row],[Household goods and services]],Table1[[#This Row],[Personal care and effects]])</f>
        <v>111.30000000000001</v>
      </c>
      <c r="AL47">
        <f>Table1[[#This Row],[Health]]</f>
        <v>111.8</v>
      </c>
      <c r="AM47">
        <v>111.2</v>
      </c>
      <c r="AN47">
        <f>AVERAGE(Table1[[#This Row],[Education]],Table1[[#This Row],[Recreation and amusement]])</f>
        <v>111.75</v>
      </c>
      <c r="AO47">
        <f>Table1[[#This Row],[Miscellaneous]]</f>
        <v>111.5</v>
      </c>
      <c r="AP47" t="str">
        <f t="shared" si="1"/>
        <v>Pre-COVID</v>
      </c>
    </row>
    <row r="48" spans="1:42" x14ac:dyDescent="0.25">
      <c r="A48" t="s">
        <v>33</v>
      </c>
      <c r="B48">
        <v>2014</v>
      </c>
      <c r="C48" t="s">
        <v>37</v>
      </c>
      <c r="D48" s="3">
        <f>DATE(B48,MATCH(C48,{"January","February","March","April","May","June","July","August","September","October","November","December"},0),1)</f>
        <v>41730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  <c r="AF48">
        <f t="shared" si="0"/>
        <v>115.69230769230771</v>
      </c>
      <c r="AG48">
        <v>117.6</v>
      </c>
      <c r="AH48">
        <f>Table1[[#This Row],[Clothing and footwear]]</f>
        <v>115.7</v>
      </c>
      <c r="AI48">
        <v>113.9</v>
      </c>
      <c r="AJ48">
        <v>110.9</v>
      </c>
      <c r="AK48">
        <f>AVERAGE(Table1[[#This Row],[Household goods and services]],Table1[[#This Row],[Personal care and effects]])</f>
        <v>111.25</v>
      </c>
      <c r="AL48">
        <f>Table1[[#This Row],[Health]]</f>
        <v>111</v>
      </c>
      <c r="AM48">
        <v>111.2</v>
      </c>
      <c r="AN48">
        <f>AVERAGE(Table1[[#This Row],[Education]],Table1[[#This Row],[Recreation and amusement]])</f>
        <v>111.85</v>
      </c>
      <c r="AO48">
        <f>Table1[[#This Row],[Miscellaneous]]</f>
        <v>111.4</v>
      </c>
      <c r="AP48" t="str">
        <f t="shared" si="1"/>
        <v>Pre-COVID</v>
      </c>
    </row>
    <row r="49" spans="1:42" x14ac:dyDescent="0.25">
      <c r="A49" t="s">
        <v>34</v>
      </c>
      <c r="B49">
        <v>2014</v>
      </c>
      <c r="C49" t="s">
        <v>37</v>
      </c>
      <c r="D49" s="3">
        <f>DATE(B49,MATCH(C49,{"January","February","March","April","May","June","July","August","September","October","November","December"},0),1)</f>
        <v>41730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  <c r="AF49">
        <f t="shared" si="0"/>
        <v>115.69999999999999</v>
      </c>
      <c r="AG49">
        <v>116</v>
      </c>
      <c r="AH49">
        <f>Table1[[#This Row],[Clothing and footwear]]</f>
        <v>117</v>
      </c>
      <c r="AI49">
        <v>113.9</v>
      </c>
      <c r="AJ49">
        <v>112.5</v>
      </c>
      <c r="AK49">
        <f>AVERAGE(Table1[[#This Row],[Household goods and services]],Table1[[#This Row],[Personal care and effects]])</f>
        <v>111.3</v>
      </c>
      <c r="AL49">
        <f>Table1[[#This Row],[Health]]</f>
        <v>111.5</v>
      </c>
      <c r="AM49">
        <v>111.2</v>
      </c>
      <c r="AN49">
        <f>AVERAGE(Table1[[#This Row],[Education]],Table1[[#This Row],[Recreation and amusement]])</f>
        <v>111.80000000000001</v>
      </c>
      <c r="AO49">
        <f>Table1[[#This Row],[Miscellaneous]]</f>
        <v>111.5</v>
      </c>
      <c r="AP49" t="str">
        <f t="shared" si="1"/>
        <v>Pre-COVID</v>
      </c>
    </row>
    <row r="50" spans="1:42" x14ac:dyDescent="0.25">
      <c r="A50" t="s">
        <v>30</v>
      </c>
      <c r="B50">
        <v>2014</v>
      </c>
      <c r="C50" t="s">
        <v>38</v>
      </c>
      <c r="D50" s="3">
        <f>DATE(B50,MATCH(C50,{"January","February","March","April","May","June","July","August","September","October","November","December"},0),1)</f>
        <v>41760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>
        <v>114.3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  <c r="AF50">
        <f t="shared" si="0"/>
        <v>116.45384615384614</v>
      </c>
      <c r="AG50">
        <v>116.3</v>
      </c>
      <c r="AH50">
        <f>Table1[[#This Row],[Clothing and footwear]]</f>
        <v>118.5</v>
      </c>
      <c r="AI50">
        <v>114.3</v>
      </c>
      <c r="AJ50">
        <v>113.4</v>
      </c>
      <c r="AK50">
        <f>AVERAGE(Table1[[#This Row],[Household goods and services]],Table1[[#This Row],[Personal care and effects]])</f>
        <v>111.5</v>
      </c>
      <c r="AL50">
        <f>Table1[[#This Row],[Health]]</f>
        <v>112.1</v>
      </c>
      <c r="AM50">
        <v>111.4</v>
      </c>
      <c r="AN50">
        <f>AVERAGE(Table1[[#This Row],[Education]],Table1[[#This Row],[Recreation and amusement]])</f>
        <v>112</v>
      </c>
      <c r="AO50">
        <f>Table1[[#This Row],[Miscellaneous]]</f>
        <v>111.8</v>
      </c>
      <c r="AP50" t="str">
        <f t="shared" si="1"/>
        <v>Pre-COVID</v>
      </c>
    </row>
    <row r="51" spans="1:42" x14ac:dyDescent="0.25">
      <c r="A51" t="s">
        <v>33</v>
      </c>
      <c r="B51">
        <v>2014</v>
      </c>
      <c r="C51" t="s">
        <v>38</v>
      </c>
      <c r="D51" s="3">
        <f>DATE(B51,MATCH(C51,{"January","February","March","April","May","June","July","August","September","October","November","December"},0),1)</f>
        <v>41760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  <c r="AF51">
        <f t="shared" si="0"/>
        <v>117.33076923076925</v>
      </c>
      <c r="AG51">
        <v>118.3</v>
      </c>
      <c r="AH51">
        <f>Table1[[#This Row],[Clothing and footwear]]</f>
        <v>116.2</v>
      </c>
      <c r="AI51">
        <v>114.3</v>
      </c>
      <c r="AJ51">
        <v>111.1</v>
      </c>
      <c r="AK51">
        <f>AVERAGE(Table1[[#This Row],[Household goods and services]],Table1[[#This Row],[Personal care and effects]])</f>
        <v>111.69999999999999</v>
      </c>
      <c r="AL51">
        <f>Table1[[#This Row],[Health]]</f>
        <v>111.2</v>
      </c>
      <c r="AM51">
        <v>111.3</v>
      </c>
      <c r="AN51">
        <f>AVERAGE(Table1[[#This Row],[Education]],Table1[[#This Row],[Recreation and amusement]])</f>
        <v>112.2</v>
      </c>
      <c r="AO51">
        <f>Table1[[#This Row],[Miscellaneous]]</f>
        <v>111.7</v>
      </c>
      <c r="AP51" t="str">
        <f t="shared" si="1"/>
        <v>Pre-COVID</v>
      </c>
    </row>
    <row r="52" spans="1:42" x14ac:dyDescent="0.25">
      <c r="A52" t="s">
        <v>34</v>
      </c>
      <c r="B52">
        <v>2014</v>
      </c>
      <c r="C52" t="s">
        <v>38</v>
      </c>
      <c r="D52" s="3">
        <f>DATE(B52,MATCH(C52,{"January","February","March","April","May","June","July","August","September","October","November","December"},0),1)</f>
        <v>41760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  <c r="AF52">
        <f t="shared" si="0"/>
        <v>116.80769230769235</v>
      </c>
      <c r="AG52">
        <v>116.8</v>
      </c>
      <c r="AH52">
        <f>Table1[[#This Row],[Clothing and footwear]]</f>
        <v>117.6</v>
      </c>
      <c r="AI52">
        <v>114.3</v>
      </c>
      <c r="AJ52">
        <v>112.5</v>
      </c>
      <c r="AK52">
        <f>AVERAGE(Table1[[#This Row],[Household goods and services]],Table1[[#This Row],[Personal care and effects]])</f>
        <v>111.6</v>
      </c>
      <c r="AL52">
        <f>Table1[[#This Row],[Health]]</f>
        <v>111.8</v>
      </c>
      <c r="AM52">
        <v>111.3</v>
      </c>
      <c r="AN52">
        <f>AVERAGE(Table1[[#This Row],[Education]],Table1[[#This Row],[Recreation and amusement]])</f>
        <v>112.1</v>
      </c>
      <c r="AO52">
        <f>Table1[[#This Row],[Miscellaneous]]</f>
        <v>111.8</v>
      </c>
      <c r="AP52" t="str">
        <f t="shared" si="1"/>
        <v>Pre-COVID</v>
      </c>
    </row>
    <row r="53" spans="1:42" x14ac:dyDescent="0.25">
      <c r="A53" t="s">
        <v>30</v>
      </c>
      <c r="B53">
        <v>2014</v>
      </c>
      <c r="C53" t="s">
        <v>39</v>
      </c>
      <c r="D53" s="3">
        <f>DATE(B53,MATCH(C53,{"January","February","March","April","May","June","July","August","September","October","November","December"},0),1)</f>
        <v>41791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>
        <v>113.9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  <c r="AF53">
        <f t="shared" si="0"/>
        <v>117.36153846153844</v>
      </c>
      <c r="AG53">
        <v>117.3</v>
      </c>
      <c r="AH53">
        <f>Table1[[#This Row],[Clothing and footwear]]</f>
        <v>119.3</v>
      </c>
      <c r="AI53">
        <v>113.9</v>
      </c>
      <c r="AJ53">
        <v>114.4</v>
      </c>
      <c r="AK53">
        <f>AVERAGE(Table1[[#This Row],[Household goods and services]],Table1[[#This Row],[Personal care and effects]])</f>
        <v>111.45</v>
      </c>
      <c r="AL53">
        <f>Table1[[#This Row],[Health]]</f>
        <v>112.8</v>
      </c>
      <c r="AM53">
        <v>112.2</v>
      </c>
      <c r="AN53">
        <f>AVERAGE(Table1[[#This Row],[Education]],Table1[[#This Row],[Recreation and amusement]])</f>
        <v>112.85</v>
      </c>
      <c r="AO53">
        <f>Table1[[#This Row],[Miscellaneous]]</f>
        <v>112.3</v>
      </c>
      <c r="AP53" t="str">
        <f t="shared" si="1"/>
        <v>Pre-COVID</v>
      </c>
    </row>
    <row r="54" spans="1:42" x14ac:dyDescent="0.25">
      <c r="A54" t="s">
        <v>33</v>
      </c>
      <c r="B54">
        <v>2014</v>
      </c>
      <c r="C54" t="s">
        <v>39</v>
      </c>
      <c r="D54" s="3">
        <f>DATE(B54,MATCH(C54,{"January","February","March","April","May","June","July","August","September","October","November","December"},0),1)</f>
        <v>41791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  <c r="AF54">
        <f t="shared" si="0"/>
        <v>119</v>
      </c>
      <c r="AG54">
        <v>119</v>
      </c>
      <c r="AH54">
        <f>Table1[[#This Row],[Clothing and footwear]]</f>
        <v>116.7</v>
      </c>
      <c r="AI54">
        <v>113.9</v>
      </c>
      <c r="AJ54">
        <v>111.2</v>
      </c>
      <c r="AK54">
        <f>AVERAGE(Table1[[#This Row],[Household goods and services]],Table1[[#This Row],[Personal care and effects]])</f>
        <v>111.5</v>
      </c>
      <c r="AL54">
        <f>Table1[[#This Row],[Health]]</f>
        <v>111.4</v>
      </c>
      <c r="AM54">
        <v>111.5</v>
      </c>
      <c r="AN54">
        <f>AVERAGE(Table1[[#This Row],[Education]],Table1[[#This Row],[Recreation and amusement]])</f>
        <v>113.44999999999999</v>
      </c>
      <c r="AO54">
        <f>Table1[[#This Row],[Miscellaneous]]</f>
        <v>112.2</v>
      </c>
      <c r="AP54" t="str">
        <f t="shared" si="1"/>
        <v>Pre-COVID</v>
      </c>
    </row>
    <row r="55" spans="1:42" x14ac:dyDescent="0.25">
      <c r="A55" t="s">
        <v>34</v>
      </c>
      <c r="B55">
        <v>2014</v>
      </c>
      <c r="C55" t="s">
        <v>39</v>
      </c>
      <c r="D55" s="3">
        <f>DATE(B55,MATCH(C55,{"January","February","March","April","May","June","July","August","September","October","November","December"},0),1)</f>
        <v>41791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  <c r="AF55">
        <f t="shared" si="0"/>
        <v>117.9769230769231</v>
      </c>
      <c r="AG55">
        <v>117.8</v>
      </c>
      <c r="AH55">
        <f>Table1[[#This Row],[Clothing and footwear]]</f>
        <v>118.3</v>
      </c>
      <c r="AI55">
        <v>113.9</v>
      </c>
      <c r="AJ55">
        <v>113.2</v>
      </c>
      <c r="AK55">
        <f>AVERAGE(Table1[[#This Row],[Household goods and services]],Table1[[#This Row],[Personal care and effects]])</f>
        <v>111.44999999999999</v>
      </c>
      <c r="AL55">
        <f>Table1[[#This Row],[Health]]</f>
        <v>112.3</v>
      </c>
      <c r="AM55">
        <v>111.8</v>
      </c>
      <c r="AN55">
        <f>AVERAGE(Table1[[#This Row],[Education]],Table1[[#This Row],[Recreation and amusement]])</f>
        <v>113.19999999999999</v>
      </c>
      <c r="AO55">
        <f>Table1[[#This Row],[Miscellaneous]]</f>
        <v>112.3</v>
      </c>
      <c r="AP55" t="str">
        <f t="shared" si="1"/>
        <v>Pre-COVID</v>
      </c>
    </row>
    <row r="56" spans="1:42" x14ac:dyDescent="0.25">
      <c r="A56" t="s">
        <v>30</v>
      </c>
      <c r="B56">
        <v>2014</v>
      </c>
      <c r="C56" t="s">
        <v>40</v>
      </c>
      <c r="D56" s="3">
        <f>DATE(B56,MATCH(C56,{"January","February","March","April","May","June","July","August","September","October","November","December"},0),1)</f>
        <v>41821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>
        <v>114.8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  <c r="AF56">
        <f t="shared" si="0"/>
        <v>120.24615384615385</v>
      </c>
      <c r="AG56">
        <v>118</v>
      </c>
      <c r="AH56">
        <f>Table1[[#This Row],[Clothing and footwear]]</f>
        <v>120.3</v>
      </c>
      <c r="AI56">
        <v>114.8</v>
      </c>
      <c r="AJ56">
        <v>115.3</v>
      </c>
      <c r="AK56">
        <f>AVERAGE(Table1[[#This Row],[Household goods and services]],Table1[[#This Row],[Personal care and effects]])</f>
        <v>112.1</v>
      </c>
      <c r="AL56">
        <f>Table1[[#This Row],[Health]]</f>
        <v>113.4</v>
      </c>
      <c r="AM56">
        <v>113.2</v>
      </c>
      <c r="AN56">
        <f>AVERAGE(Table1[[#This Row],[Education]],Table1[[#This Row],[Recreation and amusement]])</f>
        <v>113.65</v>
      </c>
      <c r="AO56">
        <f>Table1[[#This Row],[Miscellaneous]]</f>
        <v>113.1</v>
      </c>
      <c r="AP56" t="str">
        <f t="shared" si="1"/>
        <v>Pre-COVID</v>
      </c>
    </row>
    <row r="57" spans="1:42" x14ac:dyDescent="0.25">
      <c r="A57" t="s">
        <v>33</v>
      </c>
      <c r="B57">
        <v>2014</v>
      </c>
      <c r="C57" t="s">
        <v>40</v>
      </c>
      <c r="D57" s="3">
        <f>DATE(B57,MATCH(C57,{"January","February","March","April","May","June","July","August","September","October","November","December"},0),1)</f>
        <v>41821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  <c r="AF57">
        <f t="shared" si="0"/>
        <v>123.03846153846153</v>
      </c>
      <c r="AG57">
        <v>121</v>
      </c>
      <c r="AH57">
        <f>Table1[[#This Row],[Clothing and footwear]]</f>
        <v>117.4</v>
      </c>
      <c r="AI57">
        <v>114.8</v>
      </c>
      <c r="AJ57">
        <v>111.6</v>
      </c>
      <c r="AK57">
        <f>AVERAGE(Table1[[#This Row],[Household goods and services]],Table1[[#This Row],[Personal care and effects]])</f>
        <v>112.30000000000001</v>
      </c>
      <c r="AL57">
        <f>Table1[[#This Row],[Health]]</f>
        <v>111.5</v>
      </c>
      <c r="AM57">
        <v>113</v>
      </c>
      <c r="AN57">
        <f>AVERAGE(Table1[[#This Row],[Education]],Table1[[#This Row],[Recreation and amusement]])</f>
        <v>115.1</v>
      </c>
      <c r="AO57">
        <f>Table1[[#This Row],[Miscellaneous]]</f>
        <v>113.5</v>
      </c>
      <c r="AP57" t="str">
        <f t="shared" si="1"/>
        <v>Pre-COVID</v>
      </c>
    </row>
    <row r="58" spans="1:42" x14ac:dyDescent="0.25">
      <c r="A58" t="s">
        <v>34</v>
      </c>
      <c r="B58">
        <v>2014</v>
      </c>
      <c r="C58" t="s">
        <v>40</v>
      </c>
      <c r="D58" s="3">
        <f>DATE(B58,MATCH(C58,{"January","February","March","April","May","June","July","August","September","October","November","December"},0),1)</f>
        <v>41821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  <c r="AF58">
        <f t="shared" si="0"/>
        <v>121.25384615384615</v>
      </c>
      <c r="AG58">
        <v>118.8</v>
      </c>
      <c r="AH58">
        <f>Table1[[#This Row],[Clothing and footwear]]</f>
        <v>119.1</v>
      </c>
      <c r="AI58">
        <v>114.8</v>
      </c>
      <c r="AJ58">
        <v>113.9</v>
      </c>
      <c r="AK58">
        <f>AVERAGE(Table1[[#This Row],[Household goods and services]],Table1[[#This Row],[Personal care and effects]])</f>
        <v>112.2</v>
      </c>
      <c r="AL58">
        <f>Table1[[#This Row],[Health]]</f>
        <v>112.7</v>
      </c>
      <c r="AM58">
        <v>113.1</v>
      </c>
      <c r="AN58">
        <f>AVERAGE(Table1[[#This Row],[Education]],Table1[[#This Row],[Recreation and amusement]])</f>
        <v>114.44999999999999</v>
      </c>
      <c r="AO58">
        <f>Table1[[#This Row],[Miscellaneous]]</f>
        <v>113.3</v>
      </c>
      <c r="AP58" t="str">
        <f t="shared" si="1"/>
        <v>Pre-COVID</v>
      </c>
    </row>
    <row r="59" spans="1:42" x14ac:dyDescent="0.25">
      <c r="A59" t="s">
        <v>30</v>
      </c>
      <c r="B59">
        <v>2014</v>
      </c>
      <c r="C59" t="s">
        <v>41</v>
      </c>
      <c r="D59" s="3">
        <f>DATE(B59,MATCH(C59,{"January","February","March","April","May","June","July","August","September","October","November","December"},0),1)</f>
        <v>41852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>
        <v>115.5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  <c r="AF59">
        <f t="shared" si="0"/>
        <v>121.71538461538459</v>
      </c>
      <c r="AG59">
        <v>118.8</v>
      </c>
      <c r="AH59">
        <f>Table1[[#This Row],[Clothing and footwear]]</f>
        <v>120.7</v>
      </c>
      <c r="AI59">
        <v>115.5</v>
      </c>
      <c r="AJ59">
        <v>115.4</v>
      </c>
      <c r="AK59">
        <f>AVERAGE(Table1[[#This Row],[Household goods and services]],Table1[[#This Row],[Personal care and effects]])</f>
        <v>112.65</v>
      </c>
      <c r="AL59">
        <f>Table1[[#This Row],[Health]]</f>
        <v>114</v>
      </c>
      <c r="AM59">
        <v>113.2</v>
      </c>
      <c r="AN59">
        <f>AVERAGE(Table1[[#This Row],[Education]],Table1[[#This Row],[Recreation and amusement]])</f>
        <v>114.2</v>
      </c>
      <c r="AO59">
        <f>Table1[[#This Row],[Miscellaneous]]</f>
        <v>113.5</v>
      </c>
      <c r="AP59" t="str">
        <f t="shared" si="1"/>
        <v>Pre-COVID</v>
      </c>
    </row>
    <row r="60" spans="1:42" x14ac:dyDescent="0.25">
      <c r="A60" t="s">
        <v>33</v>
      </c>
      <c r="B60">
        <v>2014</v>
      </c>
      <c r="C60" t="s">
        <v>41</v>
      </c>
      <c r="D60" s="3">
        <f>DATE(B60,MATCH(C60,{"January","February","March","April","May","June","July","August","September","October","November","December"},0),1)</f>
        <v>41852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  <c r="AF60">
        <f t="shared" si="0"/>
        <v>124.38461538461539</v>
      </c>
      <c r="AG60">
        <v>123</v>
      </c>
      <c r="AH60">
        <f>Table1[[#This Row],[Clothing and footwear]]</f>
        <v>117.9</v>
      </c>
      <c r="AI60">
        <v>115.5</v>
      </c>
      <c r="AJ60">
        <v>111.8</v>
      </c>
      <c r="AK60">
        <f>AVERAGE(Table1[[#This Row],[Household goods and services]],Table1[[#This Row],[Personal care and effects]])</f>
        <v>112.9</v>
      </c>
      <c r="AL60">
        <f>Table1[[#This Row],[Health]]</f>
        <v>112.2</v>
      </c>
      <c r="AM60">
        <v>112.5</v>
      </c>
      <c r="AN60">
        <f>AVERAGE(Table1[[#This Row],[Education]],Table1[[#This Row],[Recreation and amusement]])</f>
        <v>116.05000000000001</v>
      </c>
      <c r="AO60">
        <f>Table1[[#This Row],[Miscellaneous]]</f>
        <v>113.9</v>
      </c>
      <c r="AP60" t="str">
        <f t="shared" si="1"/>
        <v>Pre-COVID</v>
      </c>
    </row>
    <row r="61" spans="1:42" x14ac:dyDescent="0.25">
      <c r="A61" t="s">
        <v>34</v>
      </c>
      <c r="B61">
        <v>2014</v>
      </c>
      <c r="C61" t="s">
        <v>41</v>
      </c>
      <c r="D61" s="3">
        <f>DATE(B61,MATCH(C61,{"January","February","March","April","May","June","July","August","September","October","November","December"},0),1)</f>
        <v>41852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  <c r="AF61">
        <f t="shared" si="0"/>
        <v>122.65384615384613</v>
      </c>
      <c r="AG61">
        <v>119.9</v>
      </c>
      <c r="AH61">
        <f>Table1[[#This Row],[Clothing and footwear]]</f>
        <v>119.6</v>
      </c>
      <c r="AI61">
        <v>115.5</v>
      </c>
      <c r="AJ61">
        <v>114</v>
      </c>
      <c r="AK61">
        <f>AVERAGE(Table1[[#This Row],[Household goods and services]],Table1[[#This Row],[Personal care and effects]])</f>
        <v>112.75</v>
      </c>
      <c r="AL61">
        <f>Table1[[#This Row],[Health]]</f>
        <v>113.3</v>
      </c>
      <c r="AM61">
        <v>112.8</v>
      </c>
      <c r="AN61">
        <f>AVERAGE(Table1[[#This Row],[Education]],Table1[[#This Row],[Recreation and amusement]])</f>
        <v>115.3</v>
      </c>
      <c r="AO61">
        <f>Table1[[#This Row],[Miscellaneous]]</f>
        <v>113.7</v>
      </c>
      <c r="AP61" t="str">
        <f t="shared" si="1"/>
        <v>Pre-COVID</v>
      </c>
    </row>
    <row r="62" spans="1:42" x14ac:dyDescent="0.25">
      <c r="A62" t="s">
        <v>30</v>
      </c>
      <c r="B62">
        <v>2014</v>
      </c>
      <c r="C62" t="s">
        <v>42</v>
      </c>
      <c r="D62" s="3">
        <f>DATE(B62,MATCH(C62,{"January","February","March","April","May","June","July","August","September","October","November","December"},0),1)</f>
        <v>41883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>
        <v>116.1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  <c r="AF62">
        <f t="shared" si="0"/>
        <v>121.78461538461539</v>
      </c>
      <c r="AG62">
        <v>119.5</v>
      </c>
      <c r="AH62">
        <f>Table1[[#This Row],[Clothing and footwear]]</f>
        <v>121.3</v>
      </c>
      <c r="AI62">
        <v>116.1</v>
      </c>
      <c r="AJ62">
        <v>115.8</v>
      </c>
      <c r="AK62">
        <f>AVERAGE(Table1[[#This Row],[Household goods and services]],Table1[[#This Row],[Personal care and effects]])</f>
        <v>112.9</v>
      </c>
      <c r="AL62">
        <f>Table1[[#This Row],[Health]]</f>
        <v>114.5</v>
      </c>
      <c r="AM62">
        <v>112.8</v>
      </c>
      <c r="AN62">
        <f>AVERAGE(Table1[[#This Row],[Education]],Table1[[#This Row],[Recreation and amusement]])</f>
        <v>114.6</v>
      </c>
      <c r="AO62">
        <f>Table1[[#This Row],[Miscellaneous]]</f>
        <v>113.7</v>
      </c>
      <c r="AP62" t="str">
        <f t="shared" si="1"/>
        <v>Pre-COVID</v>
      </c>
    </row>
    <row r="63" spans="1:42" x14ac:dyDescent="0.25">
      <c r="A63" t="s">
        <v>33</v>
      </c>
      <c r="B63">
        <v>2014</v>
      </c>
      <c r="C63" t="s">
        <v>42</v>
      </c>
      <c r="D63" s="3">
        <f>DATE(B63,MATCH(C63,{"January","February","March","April","May","June","July","August","September","October","November","December"},0),1)</f>
        <v>41883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  <c r="AF63">
        <f t="shared" si="0"/>
        <v>122.59230769230771</v>
      </c>
      <c r="AG63">
        <v>124.3</v>
      </c>
      <c r="AH63">
        <f>Table1[[#This Row],[Clothing and footwear]]</f>
        <v>118.4</v>
      </c>
      <c r="AI63">
        <v>116.1</v>
      </c>
      <c r="AJ63">
        <v>111.8</v>
      </c>
      <c r="AK63">
        <f>AVERAGE(Table1[[#This Row],[Household goods and services]],Table1[[#This Row],[Personal care and effects]])</f>
        <v>112.75</v>
      </c>
      <c r="AL63">
        <f>Table1[[#This Row],[Health]]</f>
        <v>112.3</v>
      </c>
      <c r="AM63">
        <v>111.2</v>
      </c>
      <c r="AN63">
        <f>AVERAGE(Table1[[#This Row],[Education]],Table1[[#This Row],[Recreation and amusement]])</f>
        <v>116.7</v>
      </c>
      <c r="AO63">
        <f>Table1[[#This Row],[Miscellaneous]]</f>
        <v>113.6</v>
      </c>
      <c r="AP63" t="str">
        <f t="shared" si="1"/>
        <v>Pre-COVID</v>
      </c>
    </row>
    <row r="64" spans="1:42" x14ac:dyDescent="0.25">
      <c r="A64" t="s">
        <v>34</v>
      </c>
      <c r="B64">
        <v>2014</v>
      </c>
      <c r="C64" t="s">
        <v>42</v>
      </c>
      <c r="D64" s="3">
        <f>DATE(B64,MATCH(C64,{"January","February","March","April","May","June","July","August","September","October","November","December"},0),1)</f>
        <v>41883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  <c r="AF64">
        <f t="shared" si="0"/>
        <v>122.00769230769228</v>
      </c>
      <c r="AG64">
        <v>120.8</v>
      </c>
      <c r="AH64">
        <f>Table1[[#This Row],[Clothing and footwear]]</f>
        <v>120.1</v>
      </c>
      <c r="AI64">
        <v>116.1</v>
      </c>
      <c r="AJ64">
        <v>114.3</v>
      </c>
      <c r="AK64">
        <f>AVERAGE(Table1[[#This Row],[Household goods and services]],Table1[[#This Row],[Personal care and effects]])</f>
        <v>112.8</v>
      </c>
      <c r="AL64">
        <f>Table1[[#This Row],[Health]]</f>
        <v>113.7</v>
      </c>
      <c r="AM64">
        <v>112</v>
      </c>
      <c r="AN64">
        <f>AVERAGE(Table1[[#This Row],[Education]],Table1[[#This Row],[Recreation and amusement]])</f>
        <v>115.85</v>
      </c>
      <c r="AO64">
        <f>Table1[[#This Row],[Miscellaneous]]</f>
        <v>113.7</v>
      </c>
      <c r="AP64" t="str">
        <f t="shared" si="1"/>
        <v>Pre-COVID</v>
      </c>
    </row>
    <row r="65" spans="1:42" x14ac:dyDescent="0.25">
      <c r="A65" t="s">
        <v>30</v>
      </c>
      <c r="B65">
        <v>2014</v>
      </c>
      <c r="C65" t="s">
        <v>43</v>
      </c>
      <c r="D65" s="3">
        <f>DATE(B65,MATCH(C65,{"January","February","March","April","May","June","July","August","September","October","November","December"},0),1)</f>
        <v>41913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>
        <v>116.7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  <c r="AF65">
        <f t="shared" si="0"/>
        <v>121.63076923076922</v>
      </c>
      <c r="AG65">
        <v>120</v>
      </c>
      <c r="AH65">
        <f>Table1[[#This Row],[Clothing and footwear]]</f>
        <v>122.3</v>
      </c>
      <c r="AI65">
        <v>116.7</v>
      </c>
      <c r="AJ65">
        <v>116.4</v>
      </c>
      <c r="AK65">
        <f>AVERAGE(Table1[[#This Row],[Household goods and services]],Table1[[#This Row],[Personal care and effects]])</f>
        <v>113.4</v>
      </c>
      <c r="AL65">
        <f>Table1[[#This Row],[Health]]</f>
        <v>115.3</v>
      </c>
      <c r="AM65">
        <v>112.6</v>
      </c>
      <c r="AN65">
        <f>AVERAGE(Table1[[#This Row],[Education]],Table1[[#This Row],[Recreation and amusement]])</f>
        <v>114.95</v>
      </c>
      <c r="AO65">
        <f>Table1[[#This Row],[Miscellaneous]]</f>
        <v>114</v>
      </c>
      <c r="AP65" t="str">
        <f t="shared" si="1"/>
        <v>Pre-COVID</v>
      </c>
    </row>
    <row r="66" spans="1:42" x14ac:dyDescent="0.25">
      <c r="A66" t="s">
        <v>33</v>
      </c>
      <c r="B66">
        <v>2014</v>
      </c>
      <c r="C66" t="s">
        <v>43</v>
      </c>
      <c r="D66" s="3">
        <f>DATE(B66,MATCH(C66,{"January","February","March","April","May","June","July","August","September","October","November","December"},0),1)</f>
        <v>41913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  <c r="AF66">
        <f t="shared" ref="AF66:AF129" si="2">AVERAGE(E66:Q66)</f>
        <v>122.11538461538461</v>
      </c>
      <c r="AG66">
        <v>124.3</v>
      </c>
      <c r="AH66">
        <f>Table1[[#This Row],[Clothing and footwear]]</f>
        <v>118.9</v>
      </c>
      <c r="AI66">
        <v>116.7</v>
      </c>
      <c r="AJ66">
        <v>112</v>
      </c>
      <c r="AK66">
        <f>AVERAGE(Table1[[#This Row],[Household goods and services]],Table1[[#This Row],[Personal care and effects]])</f>
        <v>112.94999999999999</v>
      </c>
      <c r="AL66">
        <f>Table1[[#This Row],[Health]]</f>
        <v>112.6</v>
      </c>
      <c r="AM66">
        <v>111</v>
      </c>
      <c r="AN66">
        <f>AVERAGE(Table1[[#This Row],[Education]],Table1[[#This Row],[Recreation and amusement]])</f>
        <v>116.9</v>
      </c>
      <c r="AO66">
        <f>Table1[[#This Row],[Miscellaneous]]</f>
        <v>113.7</v>
      </c>
      <c r="AP66" t="str">
        <f t="shared" ref="AP66:AP129" si="3">IF(D66&lt;DATE(2020,3,1),"Pre-COVID",IF(D66=DATE(2020,3,1),"COVID Onset",IF(D66&lt;=DATE(2020,5,31),"Lockdown","Post-COVID")))</f>
        <v>Pre-COVID</v>
      </c>
    </row>
    <row r="67" spans="1:42" x14ac:dyDescent="0.25">
      <c r="A67" t="s">
        <v>34</v>
      </c>
      <c r="B67">
        <v>2014</v>
      </c>
      <c r="C67" t="s">
        <v>43</v>
      </c>
      <c r="D67" s="3">
        <f>DATE(B67,MATCH(C67,{"January","February","March","April","May","June","July","August","September","October","November","December"},0),1)</f>
        <v>41913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  <c r="AF67">
        <f t="shared" si="2"/>
        <v>121.74615384615385</v>
      </c>
      <c r="AG67">
        <v>121.1</v>
      </c>
      <c r="AH67">
        <f>Table1[[#This Row],[Clothing and footwear]]</f>
        <v>121</v>
      </c>
      <c r="AI67">
        <v>116.7</v>
      </c>
      <c r="AJ67">
        <v>114.7</v>
      </c>
      <c r="AK67">
        <f>AVERAGE(Table1[[#This Row],[Household goods and services]],Table1[[#This Row],[Personal care and effects]])</f>
        <v>113.15</v>
      </c>
      <c r="AL67">
        <f>Table1[[#This Row],[Health]]</f>
        <v>114.3</v>
      </c>
      <c r="AM67">
        <v>111.8</v>
      </c>
      <c r="AN67">
        <f>AVERAGE(Table1[[#This Row],[Education]],Table1[[#This Row],[Recreation and amusement]])</f>
        <v>116.05</v>
      </c>
      <c r="AO67">
        <f>Table1[[#This Row],[Miscellaneous]]</f>
        <v>113.9</v>
      </c>
      <c r="AP67" t="str">
        <f t="shared" si="3"/>
        <v>Pre-COVID</v>
      </c>
    </row>
    <row r="68" spans="1:42" x14ac:dyDescent="0.25">
      <c r="A68" t="s">
        <v>30</v>
      </c>
      <c r="B68">
        <v>2014</v>
      </c>
      <c r="C68" t="s">
        <v>45</v>
      </c>
      <c r="D68" s="3">
        <f>DATE(B68,MATCH(C68,{"January","February","March","April","May","June","July","August","September","October","November","December"},0),1)</f>
        <v>41944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>
        <v>117.1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  <c r="AF68">
        <f t="shared" si="2"/>
        <v>121.69230769230769</v>
      </c>
      <c r="AG68">
        <v>120.8</v>
      </c>
      <c r="AH68">
        <f>Table1[[#This Row],[Clothing and footwear]]</f>
        <v>122.9</v>
      </c>
      <c r="AI68">
        <v>117.1</v>
      </c>
      <c r="AJ68">
        <v>117.3</v>
      </c>
      <c r="AK68">
        <f>AVERAGE(Table1[[#This Row],[Household goods and services]],Table1[[#This Row],[Personal care and effects]])</f>
        <v>113.44999999999999</v>
      </c>
      <c r="AL68">
        <f>Table1[[#This Row],[Health]]</f>
        <v>115.9</v>
      </c>
      <c r="AM68">
        <v>112</v>
      </c>
      <c r="AN68">
        <f>AVERAGE(Table1[[#This Row],[Education]],Table1[[#This Row],[Recreation and amusement]])</f>
        <v>115.25</v>
      </c>
      <c r="AO68">
        <f>Table1[[#This Row],[Miscellaneous]]</f>
        <v>114.1</v>
      </c>
      <c r="AP68" t="str">
        <f t="shared" si="3"/>
        <v>Pre-COVID</v>
      </c>
    </row>
    <row r="69" spans="1:42" x14ac:dyDescent="0.25">
      <c r="A69" t="s">
        <v>33</v>
      </c>
      <c r="B69">
        <v>2014</v>
      </c>
      <c r="C69" t="s">
        <v>45</v>
      </c>
      <c r="D69" s="3">
        <f>DATE(B69,MATCH(C69,{"January","February","March","April","May","June","July","August","September","October","November","December"},0),1)</f>
        <v>41944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  <c r="AF69">
        <f t="shared" si="2"/>
        <v>122.13846153846154</v>
      </c>
      <c r="AG69">
        <v>125.8</v>
      </c>
      <c r="AH69">
        <f>Table1[[#This Row],[Clothing and footwear]]</f>
        <v>119.5</v>
      </c>
      <c r="AI69">
        <v>117.1</v>
      </c>
      <c r="AJ69">
        <v>112.6</v>
      </c>
      <c r="AK69">
        <f>AVERAGE(Table1[[#This Row],[Household goods and services]],Table1[[#This Row],[Personal care and effects]])</f>
        <v>113</v>
      </c>
      <c r="AL69">
        <f>Table1[[#This Row],[Health]]</f>
        <v>113</v>
      </c>
      <c r="AM69">
        <v>109.7</v>
      </c>
      <c r="AN69">
        <f>AVERAGE(Table1[[#This Row],[Education]],Table1[[#This Row],[Recreation and amusement]])</f>
        <v>117.15</v>
      </c>
      <c r="AO69">
        <f>Table1[[#This Row],[Miscellaneous]]</f>
        <v>113.4</v>
      </c>
      <c r="AP69" t="str">
        <f t="shared" si="3"/>
        <v>Pre-COVID</v>
      </c>
    </row>
    <row r="70" spans="1:42" x14ac:dyDescent="0.25">
      <c r="A70" t="s">
        <v>34</v>
      </c>
      <c r="B70">
        <v>2014</v>
      </c>
      <c r="C70" t="s">
        <v>45</v>
      </c>
      <c r="D70" s="3">
        <f>DATE(B70,MATCH(C70,{"January","February","March","April","May","June","July","August","September","October","November","December"},0),1)</f>
        <v>41944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  <c r="AF70">
        <f t="shared" si="2"/>
        <v>121.78461538461539</v>
      </c>
      <c r="AG70">
        <v>122.1</v>
      </c>
      <c r="AH70">
        <f>Table1[[#This Row],[Clothing and footwear]]</f>
        <v>121.6</v>
      </c>
      <c r="AI70">
        <v>117.1</v>
      </c>
      <c r="AJ70">
        <v>115.5</v>
      </c>
      <c r="AK70">
        <f>AVERAGE(Table1[[#This Row],[Household goods and services]],Table1[[#This Row],[Personal care and effects]])</f>
        <v>113.19999999999999</v>
      </c>
      <c r="AL70">
        <f>Table1[[#This Row],[Health]]</f>
        <v>114.8</v>
      </c>
      <c r="AM70">
        <v>110.8</v>
      </c>
      <c r="AN70">
        <f>AVERAGE(Table1[[#This Row],[Education]],Table1[[#This Row],[Recreation and amusement]])</f>
        <v>116.35</v>
      </c>
      <c r="AO70">
        <f>Table1[[#This Row],[Miscellaneous]]</f>
        <v>113.8</v>
      </c>
      <c r="AP70" t="str">
        <f t="shared" si="3"/>
        <v>Pre-COVID</v>
      </c>
    </row>
    <row r="71" spans="1:42" x14ac:dyDescent="0.25">
      <c r="A71" t="s">
        <v>30</v>
      </c>
      <c r="B71">
        <v>2014</v>
      </c>
      <c r="C71" t="s">
        <v>46</v>
      </c>
      <c r="D71" s="3">
        <f>DATE(B71,MATCH(C71,{"January","February","March","April","May","June","July","August","September","October","November","December"},0),1)</f>
        <v>41974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>
        <v>116.5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  <c r="AF71">
        <f t="shared" si="2"/>
        <v>120.73846153846154</v>
      </c>
      <c r="AG71">
        <v>121.7</v>
      </c>
      <c r="AH71">
        <f>Table1[[#This Row],[Clothing and footwear]]</f>
        <v>123.3</v>
      </c>
      <c r="AI71">
        <v>116.5</v>
      </c>
      <c r="AJ71">
        <v>117.4</v>
      </c>
      <c r="AK71">
        <f>AVERAGE(Table1[[#This Row],[Household goods and services]],Table1[[#This Row],[Personal care and effects]])</f>
        <v>113.80000000000001</v>
      </c>
      <c r="AL71">
        <f>Table1[[#This Row],[Health]]</f>
        <v>116.2</v>
      </c>
      <c r="AM71">
        <v>111.5</v>
      </c>
      <c r="AN71">
        <f>AVERAGE(Table1[[#This Row],[Education]],Table1[[#This Row],[Recreation and amusement]])</f>
        <v>115.5</v>
      </c>
      <c r="AO71">
        <f>Table1[[#This Row],[Miscellaneous]]</f>
        <v>114.2</v>
      </c>
      <c r="AP71" t="str">
        <f t="shared" si="3"/>
        <v>Pre-COVID</v>
      </c>
    </row>
    <row r="72" spans="1:42" x14ac:dyDescent="0.25">
      <c r="A72" t="s">
        <v>33</v>
      </c>
      <c r="B72">
        <v>2014</v>
      </c>
      <c r="C72" t="s">
        <v>46</v>
      </c>
      <c r="D72" s="3">
        <f>DATE(B72,MATCH(C72,{"January","February","March","April","May","June","July","August","September","October","November","December"},0),1)</f>
        <v>41974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  <c r="AF72">
        <f t="shared" si="2"/>
        <v>121.32307692307691</v>
      </c>
      <c r="AG72">
        <v>126.4</v>
      </c>
      <c r="AH72">
        <f>Table1[[#This Row],[Clothing and footwear]]</f>
        <v>120</v>
      </c>
      <c r="AI72">
        <v>116.5</v>
      </c>
      <c r="AJ72">
        <v>113</v>
      </c>
      <c r="AK72">
        <f>AVERAGE(Table1[[#This Row],[Household goods and services]],Table1[[#This Row],[Personal care and effects]])</f>
        <v>113.6</v>
      </c>
      <c r="AL72">
        <f>Table1[[#This Row],[Health]]</f>
        <v>113.2</v>
      </c>
      <c r="AM72">
        <v>108.8</v>
      </c>
      <c r="AN72">
        <f>AVERAGE(Table1[[#This Row],[Education]],Table1[[#This Row],[Recreation and amusement]])</f>
        <v>117.5</v>
      </c>
      <c r="AO72">
        <f>Table1[[#This Row],[Miscellaneous]]</f>
        <v>113.4</v>
      </c>
      <c r="AP72" t="str">
        <f t="shared" si="3"/>
        <v>Pre-COVID</v>
      </c>
    </row>
    <row r="73" spans="1:42" x14ac:dyDescent="0.25">
      <c r="A73" t="s">
        <v>34</v>
      </c>
      <c r="B73">
        <v>2014</v>
      </c>
      <c r="C73" t="s">
        <v>46</v>
      </c>
      <c r="D73" s="3">
        <f>DATE(B73,MATCH(C73,{"January","February","March","April","May","June","July","August","September","October","November","December"},0),1)</f>
        <v>41974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  <c r="AF73">
        <f t="shared" si="2"/>
        <v>120.89999999999999</v>
      </c>
      <c r="AG73">
        <v>123</v>
      </c>
      <c r="AH73">
        <f>Table1[[#This Row],[Clothing and footwear]]</f>
        <v>122</v>
      </c>
      <c r="AI73">
        <v>116.5</v>
      </c>
      <c r="AJ73">
        <v>115.7</v>
      </c>
      <c r="AK73">
        <f>AVERAGE(Table1[[#This Row],[Household goods and services]],Table1[[#This Row],[Personal care and effects]])</f>
        <v>113.65</v>
      </c>
      <c r="AL73">
        <f>Table1[[#This Row],[Health]]</f>
        <v>115.1</v>
      </c>
      <c r="AM73">
        <v>110.1</v>
      </c>
      <c r="AN73">
        <f>AVERAGE(Table1[[#This Row],[Education]],Table1[[#This Row],[Recreation and amusement]])</f>
        <v>116.7</v>
      </c>
      <c r="AO73">
        <f>Table1[[#This Row],[Miscellaneous]]</f>
        <v>113.8</v>
      </c>
      <c r="AP73" t="str">
        <f t="shared" si="3"/>
        <v>Pre-COVID</v>
      </c>
    </row>
    <row r="74" spans="1:42" x14ac:dyDescent="0.25">
      <c r="A74" t="s">
        <v>30</v>
      </c>
      <c r="B74">
        <v>2015</v>
      </c>
      <c r="C74" t="s">
        <v>31</v>
      </c>
      <c r="D74" s="3">
        <f>DATE(B74,MATCH(C74,{"January","February","March","April","May","June","July","August","September","October","November","December"},0),1)</f>
        <v>42005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>
        <v>117.3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  <c r="AF74">
        <f t="shared" si="2"/>
        <v>120.62307692307692</v>
      </c>
      <c r="AG74">
        <v>122.7</v>
      </c>
      <c r="AH74">
        <f>Table1[[#This Row],[Clothing and footwear]]</f>
        <v>124</v>
      </c>
      <c r="AI74">
        <v>117.3</v>
      </c>
      <c r="AJ74">
        <v>118.4</v>
      </c>
      <c r="AK74">
        <f>AVERAGE(Table1[[#This Row],[Household goods and services]],Table1[[#This Row],[Personal care and effects]])</f>
        <v>114.55000000000001</v>
      </c>
      <c r="AL74">
        <f>Table1[[#This Row],[Health]]</f>
        <v>116.6</v>
      </c>
      <c r="AM74">
        <v>111</v>
      </c>
      <c r="AN74">
        <f>AVERAGE(Table1[[#This Row],[Education]],Table1[[#This Row],[Recreation and amusement]])</f>
        <v>116.1</v>
      </c>
      <c r="AO74">
        <f>Table1[[#This Row],[Miscellaneous]]</f>
        <v>114.5</v>
      </c>
      <c r="AP74" t="str">
        <f t="shared" si="3"/>
        <v>Pre-COVID</v>
      </c>
    </row>
    <row r="75" spans="1:42" x14ac:dyDescent="0.25">
      <c r="A75" t="s">
        <v>33</v>
      </c>
      <c r="B75">
        <v>2015</v>
      </c>
      <c r="C75" t="s">
        <v>31</v>
      </c>
      <c r="D75" s="3">
        <f>DATE(B75,MATCH(C75,{"January","February","March","April","May","June","July","August","September","October","November","December"},0),1)</f>
        <v>42005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  <c r="AF75">
        <f t="shared" si="2"/>
        <v>121.14615384615384</v>
      </c>
      <c r="AG75">
        <v>127.4</v>
      </c>
      <c r="AH75">
        <f>Table1[[#This Row],[Clothing and footwear]]</f>
        <v>120.2</v>
      </c>
      <c r="AI75">
        <v>117.3</v>
      </c>
      <c r="AJ75">
        <v>113.4</v>
      </c>
      <c r="AK75">
        <f>AVERAGE(Table1[[#This Row],[Household goods and services]],Table1[[#This Row],[Personal care and effects]])</f>
        <v>114.30000000000001</v>
      </c>
      <c r="AL75">
        <f>Table1[[#This Row],[Health]]</f>
        <v>113.7</v>
      </c>
      <c r="AM75">
        <v>107.9</v>
      </c>
      <c r="AN75">
        <f>AVERAGE(Table1[[#This Row],[Education]],Table1[[#This Row],[Recreation and amusement]])</f>
        <v>117.69999999999999</v>
      </c>
      <c r="AO75">
        <f>Table1[[#This Row],[Miscellaneous]]</f>
        <v>113.4</v>
      </c>
      <c r="AP75" t="str">
        <f t="shared" si="3"/>
        <v>Pre-COVID</v>
      </c>
    </row>
    <row r="76" spans="1:42" x14ac:dyDescent="0.25">
      <c r="A76" t="s">
        <v>34</v>
      </c>
      <c r="B76">
        <v>2015</v>
      </c>
      <c r="C76" t="s">
        <v>31</v>
      </c>
      <c r="D76" s="3">
        <f>DATE(B76,MATCH(C76,{"January","February","March","April","May","June","July","August","September","October","November","December"},0),1)</f>
        <v>42005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  <c r="AF76">
        <f t="shared" si="2"/>
        <v>120.71538461538461</v>
      </c>
      <c r="AG76">
        <v>124</v>
      </c>
      <c r="AH76">
        <f>Table1[[#This Row],[Clothing and footwear]]</f>
        <v>122.5</v>
      </c>
      <c r="AI76">
        <v>117.3</v>
      </c>
      <c r="AJ76">
        <v>116.5</v>
      </c>
      <c r="AK76">
        <f>AVERAGE(Table1[[#This Row],[Household goods and services]],Table1[[#This Row],[Personal care and effects]])</f>
        <v>114.4</v>
      </c>
      <c r="AL76">
        <f>Table1[[#This Row],[Health]]</f>
        <v>115.5</v>
      </c>
      <c r="AM76">
        <v>109.4</v>
      </c>
      <c r="AN76">
        <f>AVERAGE(Table1[[#This Row],[Education]],Table1[[#This Row],[Recreation and amusement]])</f>
        <v>117</v>
      </c>
      <c r="AO76">
        <f>Table1[[#This Row],[Miscellaneous]]</f>
        <v>114</v>
      </c>
      <c r="AP76" t="str">
        <f t="shared" si="3"/>
        <v>Pre-COVID</v>
      </c>
    </row>
    <row r="77" spans="1:42" x14ac:dyDescent="0.25">
      <c r="A77" t="s">
        <v>30</v>
      </c>
      <c r="B77">
        <v>2015</v>
      </c>
      <c r="C77" t="s">
        <v>35</v>
      </c>
      <c r="D77" s="3">
        <f>DATE(B77,MATCH(C77,{"January","February","March","April","May","June","July","August","September","October","November","December"},0),1)</f>
        <v>42036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>
        <v>118.1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  <c r="AF77">
        <f t="shared" si="2"/>
        <v>120.81538461538459</v>
      </c>
      <c r="AG77">
        <v>124.2</v>
      </c>
      <c r="AH77">
        <f>Table1[[#This Row],[Clothing and footwear]]</f>
        <v>125</v>
      </c>
      <c r="AI77">
        <v>118.1</v>
      </c>
      <c r="AJ77">
        <v>120</v>
      </c>
      <c r="AK77">
        <f>AVERAGE(Table1[[#This Row],[Household goods and services]],Table1[[#This Row],[Personal care and effects]])</f>
        <v>115.19999999999999</v>
      </c>
      <c r="AL77">
        <f>Table1[[#This Row],[Health]]</f>
        <v>117.7</v>
      </c>
      <c r="AM77">
        <v>110.9</v>
      </c>
      <c r="AN77">
        <f>AVERAGE(Table1[[#This Row],[Education]],Table1[[#This Row],[Recreation and amusement]])</f>
        <v>116.75</v>
      </c>
      <c r="AO77">
        <f>Table1[[#This Row],[Miscellaneous]]</f>
        <v>115</v>
      </c>
      <c r="AP77" t="str">
        <f t="shared" si="3"/>
        <v>Pre-COVID</v>
      </c>
    </row>
    <row r="78" spans="1:42" x14ac:dyDescent="0.25">
      <c r="A78" t="s">
        <v>33</v>
      </c>
      <c r="B78">
        <v>2015</v>
      </c>
      <c r="C78" t="s">
        <v>35</v>
      </c>
      <c r="D78" s="3">
        <f>DATE(B78,MATCH(C78,{"January","February","March","April","May","June","July","August","September","October","November","December"},0),1)</f>
        <v>42036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  <c r="AF78">
        <f t="shared" si="2"/>
        <v>120.85384615384616</v>
      </c>
      <c r="AG78">
        <v>128.1</v>
      </c>
      <c r="AH78">
        <f>Table1[[#This Row],[Clothing and footwear]]</f>
        <v>120.6</v>
      </c>
      <c r="AI78">
        <v>118.1</v>
      </c>
      <c r="AJ78">
        <v>114</v>
      </c>
      <c r="AK78">
        <f>AVERAGE(Table1[[#This Row],[Household goods and services]],Table1[[#This Row],[Personal care and effects]])</f>
        <v>114.7</v>
      </c>
      <c r="AL78">
        <f>Table1[[#This Row],[Health]]</f>
        <v>114.1</v>
      </c>
      <c r="AM78">
        <v>106.8</v>
      </c>
      <c r="AN78">
        <f>AVERAGE(Table1[[#This Row],[Education]],Table1[[#This Row],[Recreation and amusement]])</f>
        <v>117.65</v>
      </c>
      <c r="AO78">
        <f>Table1[[#This Row],[Miscellaneous]]</f>
        <v>113.2</v>
      </c>
      <c r="AP78" t="str">
        <f t="shared" si="3"/>
        <v>Pre-COVID</v>
      </c>
    </row>
    <row r="79" spans="1:42" x14ac:dyDescent="0.25">
      <c r="A79" t="s">
        <v>34</v>
      </c>
      <c r="B79">
        <v>2015</v>
      </c>
      <c r="C79" t="s">
        <v>35</v>
      </c>
      <c r="D79" s="3">
        <f>DATE(B79,MATCH(C79,{"January","February","March","April","May","June","July","August","September","October","November","December"},0),1)</f>
        <v>42036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  <c r="AF79">
        <f t="shared" si="2"/>
        <v>120.72307692307689</v>
      </c>
      <c r="AG79">
        <v>125.2</v>
      </c>
      <c r="AH79">
        <f>Table1[[#This Row],[Clothing and footwear]]</f>
        <v>123.3</v>
      </c>
      <c r="AI79">
        <v>118.1</v>
      </c>
      <c r="AJ79">
        <v>117.7</v>
      </c>
      <c r="AK79">
        <f>AVERAGE(Table1[[#This Row],[Household goods and services]],Table1[[#This Row],[Personal care and effects]])</f>
        <v>114.95</v>
      </c>
      <c r="AL79">
        <f>Table1[[#This Row],[Health]]</f>
        <v>116.3</v>
      </c>
      <c r="AM79">
        <v>108.7</v>
      </c>
      <c r="AN79">
        <f>AVERAGE(Table1[[#This Row],[Education]],Table1[[#This Row],[Recreation and amusement]])</f>
        <v>117.30000000000001</v>
      </c>
      <c r="AO79">
        <f>Table1[[#This Row],[Miscellaneous]]</f>
        <v>114.1</v>
      </c>
      <c r="AP79" t="str">
        <f t="shared" si="3"/>
        <v>Pre-COVID</v>
      </c>
    </row>
    <row r="80" spans="1:42" x14ac:dyDescent="0.25">
      <c r="A80" t="s">
        <v>30</v>
      </c>
      <c r="B80">
        <v>2015</v>
      </c>
      <c r="C80" t="s">
        <v>36</v>
      </c>
      <c r="D80" s="3">
        <f>DATE(B80,MATCH(C80,{"January","February","March","April","May","June","July","August","September","October","November","December"},0),1)</f>
        <v>42064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>
        <v>118.6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  <c r="AF80">
        <f t="shared" si="2"/>
        <v>120.88461538461539</v>
      </c>
      <c r="AG80">
        <v>124.7</v>
      </c>
      <c r="AH80">
        <f>Table1[[#This Row],[Clothing and footwear]]</f>
        <v>125.5</v>
      </c>
      <c r="AI80">
        <v>118.6</v>
      </c>
      <c r="AJ80">
        <v>120.6</v>
      </c>
      <c r="AK80">
        <f>AVERAGE(Table1[[#This Row],[Household goods and services]],Table1[[#This Row],[Personal care and effects]])</f>
        <v>115.5</v>
      </c>
      <c r="AL80">
        <f>Table1[[#This Row],[Health]]</f>
        <v>118.2</v>
      </c>
      <c r="AM80">
        <v>111.6</v>
      </c>
      <c r="AN80">
        <f>AVERAGE(Table1[[#This Row],[Education]],Table1[[#This Row],[Recreation and amusement]])</f>
        <v>117.45</v>
      </c>
      <c r="AO80">
        <f>Table1[[#This Row],[Miscellaneous]]</f>
        <v>115.5</v>
      </c>
      <c r="AP80" t="str">
        <f t="shared" si="3"/>
        <v>Pre-COVID</v>
      </c>
    </row>
    <row r="81" spans="1:42" x14ac:dyDescent="0.25">
      <c r="A81" t="s">
        <v>33</v>
      </c>
      <c r="B81">
        <v>2015</v>
      </c>
      <c r="C81" t="s">
        <v>36</v>
      </c>
      <c r="D81" s="3">
        <f>DATE(B81,MATCH(C81,{"January","February","March","April","May","June","July","August","September","October","November","December"},0),1)</f>
        <v>42064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  <c r="AF81">
        <f t="shared" si="2"/>
        <v>120.61538461538463</v>
      </c>
      <c r="AG81">
        <v>128.80000000000001</v>
      </c>
      <c r="AH81">
        <f>Table1[[#This Row],[Clothing and footwear]]</f>
        <v>120.9</v>
      </c>
      <c r="AI81">
        <v>118.6</v>
      </c>
      <c r="AJ81">
        <v>114.4</v>
      </c>
      <c r="AK81">
        <f>AVERAGE(Table1[[#This Row],[Household goods and services]],Table1[[#This Row],[Personal care and effects]])</f>
        <v>114.65</v>
      </c>
      <c r="AL81">
        <f>Table1[[#This Row],[Health]]</f>
        <v>114.3</v>
      </c>
      <c r="AM81">
        <v>108.4</v>
      </c>
      <c r="AN81">
        <f>AVERAGE(Table1[[#This Row],[Education]],Table1[[#This Row],[Recreation and amusement]])</f>
        <v>118</v>
      </c>
      <c r="AO81">
        <f>Table1[[#This Row],[Miscellaneous]]</f>
        <v>113.8</v>
      </c>
      <c r="AP81" t="str">
        <f t="shared" si="3"/>
        <v>Pre-COVID</v>
      </c>
    </row>
    <row r="82" spans="1:42" x14ac:dyDescent="0.25">
      <c r="A82" t="s">
        <v>34</v>
      </c>
      <c r="B82">
        <v>2015</v>
      </c>
      <c r="C82" t="s">
        <v>36</v>
      </c>
      <c r="D82" s="3">
        <f>DATE(B82,MATCH(C82,{"January","February","March","April","May","June","July","August","September","October","November","December"},0),1)</f>
        <v>42064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  <c r="AF82">
        <f t="shared" si="2"/>
        <v>120.69999999999999</v>
      </c>
      <c r="AG82">
        <v>125.8</v>
      </c>
      <c r="AH82">
        <f>Table1[[#This Row],[Clothing and footwear]]</f>
        <v>123.7</v>
      </c>
      <c r="AI82">
        <v>118.6</v>
      </c>
      <c r="AJ82">
        <v>118.3</v>
      </c>
      <c r="AK82">
        <f>AVERAGE(Table1[[#This Row],[Household goods and services]],Table1[[#This Row],[Personal care and effects]])</f>
        <v>115.1</v>
      </c>
      <c r="AL82">
        <f>Table1[[#This Row],[Health]]</f>
        <v>116.7</v>
      </c>
      <c r="AM82">
        <v>109.9</v>
      </c>
      <c r="AN82">
        <f>AVERAGE(Table1[[#This Row],[Education]],Table1[[#This Row],[Recreation and amusement]])</f>
        <v>117.75</v>
      </c>
      <c r="AO82">
        <f>Table1[[#This Row],[Miscellaneous]]</f>
        <v>114.7</v>
      </c>
      <c r="AP82" t="str">
        <f t="shared" si="3"/>
        <v>Pre-COVID</v>
      </c>
    </row>
    <row r="83" spans="1:42" x14ac:dyDescent="0.25">
      <c r="A83" t="s">
        <v>30</v>
      </c>
      <c r="B83">
        <v>2015</v>
      </c>
      <c r="C83" t="s">
        <v>37</v>
      </c>
      <c r="D83" s="3">
        <f>DATE(B83,MATCH(C83,{"January","February","March","April","May","June","July","August","September","October","November","December"},0),1)</f>
        <v>42095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>
        <v>119.2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  <c r="AF83">
        <f t="shared" si="2"/>
        <v>121.32307692307693</v>
      </c>
      <c r="AG83">
        <v>125.7</v>
      </c>
      <c r="AH83">
        <f>Table1[[#This Row],[Clothing and footwear]]</f>
        <v>126</v>
      </c>
      <c r="AI83">
        <v>119.2</v>
      </c>
      <c r="AJ83">
        <v>121.2</v>
      </c>
      <c r="AK83">
        <f>AVERAGE(Table1[[#This Row],[Household goods and services]],Table1[[#This Row],[Personal care and effects]])</f>
        <v>116.25</v>
      </c>
      <c r="AL83">
        <f>Table1[[#This Row],[Health]]</f>
        <v>118.6</v>
      </c>
      <c r="AM83">
        <v>111.9</v>
      </c>
      <c r="AN83">
        <f>AVERAGE(Table1[[#This Row],[Education]],Table1[[#This Row],[Recreation and amusement]])</f>
        <v>118.05000000000001</v>
      </c>
      <c r="AO83">
        <f>Table1[[#This Row],[Miscellaneous]]</f>
        <v>116</v>
      </c>
      <c r="AP83" t="str">
        <f t="shared" si="3"/>
        <v>Pre-COVID</v>
      </c>
    </row>
    <row r="84" spans="1:42" x14ac:dyDescent="0.25">
      <c r="A84" t="s">
        <v>33</v>
      </c>
      <c r="B84">
        <v>2015</v>
      </c>
      <c r="C84" t="s">
        <v>37</v>
      </c>
      <c r="D84" s="3">
        <f>DATE(B84,MATCH(C84,{"January","February","March","April","May","June","July","August","September","October","November","December"},0),1)</f>
        <v>42095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  <c r="AF84">
        <f t="shared" si="2"/>
        <v>121.23846153846154</v>
      </c>
      <c r="AG84">
        <v>130.1</v>
      </c>
      <c r="AH84">
        <f>Table1[[#This Row],[Clothing and footwear]]</f>
        <v>121.3</v>
      </c>
      <c r="AI84">
        <v>119.2</v>
      </c>
      <c r="AJ84">
        <v>114.7</v>
      </c>
      <c r="AK84">
        <f>AVERAGE(Table1[[#This Row],[Household goods and services]],Table1[[#This Row],[Personal care and effects]])</f>
        <v>115.1</v>
      </c>
      <c r="AL84">
        <f>Table1[[#This Row],[Health]]</f>
        <v>114.6</v>
      </c>
      <c r="AM84">
        <v>108.4</v>
      </c>
      <c r="AN84">
        <f>AVERAGE(Table1[[#This Row],[Education]],Table1[[#This Row],[Recreation and amusement]])</f>
        <v>118.65</v>
      </c>
      <c r="AO84">
        <f>Table1[[#This Row],[Miscellaneous]]</f>
        <v>114.2</v>
      </c>
      <c r="AP84" t="str">
        <f t="shared" si="3"/>
        <v>Pre-COVID</v>
      </c>
    </row>
    <row r="85" spans="1:42" x14ac:dyDescent="0.25">
      <c r="A85" t="s">
        <v>34</v>
      </c>
      <c r="B85">
        <v>2015</v>
      </c>
      <c r="C85" t="s">
        <v>37</v>
      </c>
      <c r="D85" s="3">
        <f>DATE(B85,MATCH(C85,{"January","February","March","April","May","June","July","August","September","October","November","December"},0),1)</f>
        <v>42095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  <c r="AF85">
        <f t="shared" si="2"/>
        <v>121.20769230769231</v>
      </c>
      <c r="AG85">
        <v>126.9</v>
      </c>
      <c r="AH85">
        <f>Table1[[#This Row],[Clothing and footwear]]</f>
        <v>124.1</v>
      </c>
      <c r="AI85">
        <v>119.2</v>
      </c>
      <c r="AJ85">
        <v>118.7</v>
      </c>
      <c r="AK85">
        <f>AVERAGE(Table1[[#This Row],[Household goods and services]],Table1[[#This Row],[Personal care and effects]])</f>
        <v>115.7</v>
      </c>
      <c r="AL85">
        <f>Table1[[#This Row],[Health]]</f>
        <v>117.1</v>
      </c>
      <c r="AM85">
        <v>110.1</v>
      </c>
      <c r="AN85">
        <f>AVERAGE(Table1[[#This Row],[Education]],Table1[[#This Row],[Recreation and amusement]])</f>
        <v>118.45</v>
      </c>
      <c r="AO85">
        <f>Table1[[#This Row],[Miscellaneous]]</f>
        <v>115.1</v>
      </c>
      <c r="AP85" t="str">
        <f t="shared" si="3"/>
        <v>Pre-COVID</v>
      </c>
    </row>
    <row r="86" spans="1:42" x14ac:dyDescent="0.25">
      <c r="A86" t="s">
        <v>30</v>
      </c>
      <c r="B86">
        <v>2015</v>
      </c>
      <c r="C86" t="s">
        <v>38</v>
      </c>
      <c r="D86" s="3">
        <f>DATE(B86,MATCH(C86,{"January","February","March","April","May","June","July","August","September","October","November","December"},0),1)</f>
        <v>42125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>
        <v>119.6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  <c r="AF86">
        <f t="shared" si="2"/>
        <v>122.13076923076923</v>
      </c>
      <c r="AG86">
        <v>126.7</v>
      </c>
      <c r="AH86">
        <f>Table1[[#This Row],[Clothing and footwear]]</f>
        <v>126.8</v>
      </c>
      <c r="AI86">
        <v>119.6</v>
      </c>
      <c r="AJ86">
        <v>121.9</v>
      </c>
      <c r="AK86">
        <f>AVERAGE(Table1[[#This Row],[Household goods and services]],Table1[[#This Row],[Personal care and effects]])</f>
        <v>116.9</v>
      </c>
      <c r="AL86">
        <f>Table1[[#This Row],[Health]]</f>
        <v>119.4</v>
      </c>
      <c r="AM86">
        <v>113.3</v>
      </c>
      <c r="AN86">
        <f>AVERAGE(Table1[[#This Row],[Education]],Table1[[#This Row],[Recreation and amusement]])</f>
        <v>118.6</v>
      </c>
      <c r="AO86">
        <f>Table1[[#This Row],[Miscellaneous]]</f>
        <v>116.9</v>
      </c>
      <c r="AP86" t="str">
        <f t="shared" si="3"/>
        <v>Pre-COVID</v>
      </c>
    </row>
    <row r="87" spans="1:42" x14ac:dyDescent="0.25">
      <c r="A87" t="s">
        <v>33</v>
      </c>
      <c r="B87">
        <v>2015</v>
      </c>
      <c r="C87" t="s">
        <v>38</v>
      </c>
      <c r="D87" s="3">
        <f>DATE(B87,MATCH(C87,{"January","February","March","April","May","June","July","August","September","October","November","December"},0),1)</f>
        <v>42125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  <c r="AF87">
        <f t="shared" si="2"/>
        <v>122.9923076923077</v>
      </c>
      <c r="AG87">
        <v>131.30000000000001</v>
      </c>
      <c r="AH87">
        <f>Table1[[#This Row],[Clothing and footwear]]</f>
        <v>121.6</v>
      </c>
      <c r="AI87">
        <v>119.6</v>
      </c>
      <c r="AJ87">
        <v>114.9</v>
      </c>
      <c r="AK87">
        <f>AVERAGE(Table1[[#This Row],[Household goods and services]],Table1[[#This Row],[Personal care and effects]])</f>
        <v>115.55000000000001</v>
      </c>
      <c r="AL87">
        <f>Table1[[#This Row],[Health]]</f>
        <v>114.9</v>
      </c>
      <c r="AM87">
        <v>110.8</v>
      </c>
      <c r="AN87">
        <f>AVERAGE(Table1[[#This Row],[Education]],Table1[[#This Row],[Recreation and amusement]])</f>
        <v>119</v>
      </c>
      <c r="AO87">
        <f>Table1[[#This Row],[Miscellaneous]]</f>
        <v>115.2</v>
      </c>
      <c r="AP87" t="str">
        <f t="shared" si="3"/>
        <v>Pre-COVID</v>
      </c>
    </row>
    <row r="88" spans="1:42" x14ac:dyDescent="0.25">
      <c r="A88" t="s">
        <v>34</v>
      </c>
      <c r="B88">
        <v>2015</v>
      </c>
      <c r="C88" t="s">
        <v>38</v>
      </c>
      <c r="D88" s="3">
        <f>DATE(B88,MATCH(C88,{"January","February","March","April","May","June","July","August","September","October","November","December"},0),1)</f>
        <v>42125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  <c r="AF88">
        <f t="shared" si="2"/>
        <v>122.33846153846154</v>
      </c>
      <c r="AG88">
        <v>127.9</v>
      </c>
      <c r="AH88">
        <f>Table1[[#This Row],[Clothing and footwear]]</f>
        <v>124.7</v>
      </c>
      <c r="AI88">
        <v>119.6</v>
      </c>
      <c r="AJ88">
        <v>119.2</v>
      </c>
      <c r="AK88">
        <f>AVERAGE(Table1[[#This Row],[Household goods and services]],Table1[[#This Row],[Personal care and effects]])</f>
        <v>116.25</v>
      </c>
      <c r="AL88">
        <f>Table1[[#This Row],[Health]]</f>
        <v>117.7</v>
      </c>
      <c r="AM88">
        <v>112</v>
      </c>
      <c r="AN88">
        <f>AVERAGE(Table1[[#This Row],[Education]],Table1[[#This Row],[Recreation and amusement]])</f>
        <v>118.85</v>
      </c>
      <c r="AO88">
        <f>Table1[[#This Row],[Miscellaneous]]</f>
        <v>116.1</v>
      </c>
      <c r="AP88" t="str">
        <f t="shared" si="3"/>
        <v>Pre-COVID</v>
      </c>
    </row>
    <row r="89" spans="1:42" x14ac:dyDescent="0.25">
      <c r="A89" t="s">
        <v>30</v>
      </c>
      <c r="B89">
        <v>2015</v>
      </c>
      <c r="C89" t="s">
        <v>39</v>
      </c>
      <c r="D89" s="3">
        <f>DATE(B89,MATCH(C89,{"January","February","March","April","May","June","July","August","September","October","November","December"},0),1)</f>
        <v>42156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>
        <v>119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  <c r="AF89">
        <f t="shared" si="2"/>
        <v>124.45384615384614</v>
      </c>
      <c r="AG89">
        <v>128.19999999999999</v>
      </c>
      <c r="AH89">
        <f>Table1[[#This Row],[Clothing and footwear]]</f>
        <v>128</v>
      </c>
      <c r="AI89">
        <v>119</v>
      </c>
      <c r="AJ89">
        <v>122.6</v>
      </c>
      <c r="AK89">
        <f>AVERAGE(Table1[[#This Row],[Household goods and services]],Table1[[#This Row],[Personal care and effects]])</f>
        <v>117.9</v>
      </c>
      <c r="AL89">
        <f>Table1[[#This Row],[Health]]</f>
        <v>120.4</v>
      </c>
      <c r="AM89">
        <v>114.2</v>
      </c>
      <c r="AN89">
        <f>AVERAGE(Table1[[#This Row],[Education]],Table1[[#This Row],[Recreation and amusement]])</f>
        <v>119.95</v>
      </c>
      <c r="AO89">
        <f>Table1[[#This Row],[Miscellaneous]]</f>
        <v>117.9</v>
      </c>
      <c r="AP89" t="str">
        <f t="shared" si="3"/>
        <v>Pre-COVID</v>
      </c>
    </row>
    <row r="90" spans="1:42" x14ac:dyDescent="0.25">
      <c r="A90" t="s">
        <v>33</v>
      </c>
      <c r="B90">
        <v>2015</v>
      </c>
      <c r="C90" t="s">
        <v>39</v>
      </c>
      <c r="D90" s="3">
        <f>DATE(B90,MATCH(C90,{"January","February","March","April","May","June","July","August","September","October","November","December"},0),1)</f>
        <v>42156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  <c r="AF90">
        <f t="shared" si="2"/>
        <v>125.89230769230768</v>
      </c>
      <c r="AG90">
        <v>132.1</v>
      </c>
      <c r="AH90">
        <f>Table1[[#This Row],[Clothing and footwear]]</f>
        <v>122.3</v>
      </c>
      <c r="AI90">
        <v>119</v>
      </c>
      <c r="AJ90">
        <v>115.1</v>
      </c>
      <c r="AK90">
        <f>AVERAGE(Table1[[#This Row],[Household goods and services]],Table1[[#This Row],[Personal care and effects]])</f>
        <v>115.85</v>
      </c>
      <c r="AL90">
        <f>Table1[[#This Row],[Health]]</f>
        <v>115.4</v>
      </c>
      <c r="AM90">
        <v>111.7</v>
      </c>
      <c r="AN90">
        <f>AVERAGE(Table1[[#This Row],[Education]],Table1[[#This Row],[Recreation and amusement]])</f>
        <v>120</v>
      </c>
      <c r="AO90">
        <f>Table1[[#This Row],[Miscellaneous]]</f>
        <v>116</v>
      </c>
      <c r="AP90" t="str">
        <f t="shared" si="3"/>
        <v>Pre-COVID</v>
      </c>
    </row>
    <row r="91" spans="1:42" x14ac:dyDescent="0.25">
      <c r="A91" t="s">
        <v>34</v>
      </c>
      <c r="B91">
        <v>2015</v>
      </c>
      <c r="C91" t="s">
        <v>39</v>
      </c>
      <c r="D91" s="3">
        <f>DATE(B91,MATCH(C91,{"January","February","March","April","May","June","July","August","September","October","November","December"},0),1)</f>
        <v>42156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  <c r="AF91">
        <f t="shared" si="2"/>
        <v>124.88461538461539</v>
      </c>
      <c r="AG91">
        <v>129.19999999999999</v>
      </c>
      <c r="AH91">
        <f>Table1[[#This Row],[Clothing and footwear]]</f>
        <v>125.7</v>
      </c>
      <c r="AI91">
        <v>119</v>
      </c>
      <c r="AJ91">
        <v>119.8</v>
      </c>
      <c r="AK91">
        <f>AVERAGE(Table1[[#This Row],[Household goods and services]],Table1[[#This Row],[Personal care and effects]])</f>
        <v>116.94999999999999</v>
      </c>
      <c r="AL91">
        <f>Table1[[#This Row],[Health]]</f>
        <v>118.5</v>
      </c>
      <c r="AM91">
        <v>112.9</v>
      </c>
      <c r="AN91">
        <f>AVERAGE(Table1[[#This Row],[Education]],Table1[[#This Row],[Recreation and amusement]])</f>
        <v>120</v>
      </c>
      <c r="AO91">
        <f>Table1[[#This Row],[Miscellaneous]]</f>
        <v>117</v>
      </c>
      <c r="AP91" t="str">
        <f t="shared" si="3"/>
        <v>Pre-COVID</v>
      </c>
    </row>
    <row r="92" spans="1:42" x14ac:dyDescent="0.25">
      <c r="A92" t="s">
        <v>30</v>
      </c>
      <c r="B92">
        <v>2015</v>
      </c>
      <c r="C92" t="s">
        <v>40</v>
      </c>
      <c r="D92" s="3">
        <f>DATE(B92,MATCH(C92,{"January","February","March","April","May","June","July","August","September","October","November","December"},0),1)</f>
        <v>42186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>
        <v>119.9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  <c r="AF92">
        <f t="shared" si="2"/>
        <v>125.02307692307691</v>
      </c>
      <c r="AG92">
        <v>129.4</v>
      </c>
      <c r="AH92">
        <f>Table1[[#This Row],[Clothing and footwear]]</f>
        <v>128.30000000000001</v>
      </c>
      <c r="AI92">
        <v>119.9</v>
      </c>
      <c r="AJ92">
        <v>123</v>
      </c>
      <c r="AK92">
        <f>AVERAGE(Table1[[#This Row],[Household goods and services]],Table1[[#This Row],[Personal care and effects]])</f>
        <v>117.85</v>
      </c>
      <c r="AL92">
        <f>Table1[[#This Row],[Health]]</f>
        <v>120.8</v>
      </c>
      <c r="AM92">
        <v>114.1</v>
      </c>
      <c r="AN92">
        <f>AVERAGE(Table1[[#This Row],[Education]],Table1[[#This Row],[Recreation and amusement]])</f>
        <v>120.45</v>
      </c>
      <c r="AO92">
        <f>Table1[[#This Row],[Miscellaneous]]</f>
        <v>118.1</v>
      </c>
      <c r="AP92" t="str">
        <f t="shared" si="3"/>
        <v>Pre-COVID</v>
      </c>
    </row>
    <row r="93" spans="1:42" x14ac:dyDescent="0.25">
      <c r="A93" t="s">
        <v>33</v>
      </c>
      <c r="B93">
        <v>2015</v>
      </c>
      <c r="C93" t="s">
        <v>40</v>
      </c>
      <c r="D93" s="3">
        <f>DATE(B93,MATCH(C93,{"January","February","March","April","May","June","July","August","September","October","November","December"},0),1)</f>
        <v>42186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  <c r="AF93">
        <f t="shared" si="2"/>
        <v>126.37692307692306</v>
      </c>
      <c r="AG93">
        <v>133.1</v>
      </c>
      <c r="AH93">
        <f>Table1[[#This Row],[Clothing and footwear]]</f>
        <v>122.7</v>
      </c>
      <c r="AI93">
        <v>119.9</v>
      </c>
      <c r="AJ93">
        <v>115.3</v>
      </c>
      <c r="AK93">
        <f>AVERAGE(Table1[[#This Row],[Household goods and services]],Table1[[#This Row],[Personal care and effects]])</f>
        <v>115.6</v>
      </c>
      <c r="AL93">
        <f>Table1[[#This Row],[Health]]</f>
        <v>116</v>
      </c>
      <c r="AM93">
        <v>111.5</v>
      </c>
      <c r="AN93">
        <f>AVERAGE(Table1[[#This Row],[Education]],Table1[[#This Row],[Recreation and amusement]])</f>
        <v>121</v>
      </c>
      <c r="AO93">
        <f>Table1[[#This Row],[Miscellaneous]]</f>
        <v>116.3</v>
      </c>
      <c r="AP93" t="str">
        <f t="shared" si="3"/>
        <v>Pre-COVID</v>
      </c>
    </row>
    <row r="94" spans="1:42" x14ac:dyDescent="0.25">
      <c r="A94" t="s">
        <v>34</v>
      </c>
      <c r="B94">
        <v>2015</v>
      </c>
      <c r="C94" t="s">
        <v>40</v>
      </c>
      <c r="D94" s="3">
        <f>DATE(B94,MATCH(C94,{"January","February","March","April","May","June","July","August","September","October","November","December"},0),1)</f>
        <v>42186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  <c r="AF94">
        <f t="shared" si="2"/>
        <v>125.43076923076924</v>
      </c>
      <c r="AG94">
        <v>130.4</v>
      </c>
      <c r="AH94">
        <f>Table1[[#This Row],[Clothing and footwear]]</f>
        <v>126.1</v>
      </c>
      <c r="AI94">
        <v>119.9</v>
      </c>
      <c r="AJ94">
        <v>120.1</v>
      </c>
      <c r="AK94">
        <f>AVERAGE(Table1[[#This Row],[Household goods and services]],Table1[[#This Row],[Personal care and effects]])</f>
        <v>116.8</v>
      </c>
      <c r="AL94">
        <f>Table1[[#This Row],[Health]]</f>
        <v>119</v>
      </c>
      <c r="AM94">
        <v>112.7</v>
      </c>
      <c r="AN94">
        <f>AVERAGE(Table1[[#This Row],[Education]],Table1[[#This Row],[Recreation and amusement]])</f>
        <v>120.80000000000001</v>
      </c>
      <c r="AO94">
        <f>Table1[[#This Row],[Miscellaneous]]</f>
        <v>117.2</v>
      </c>
      <c r="AP94" t="str">
        <f t="shared" si="3"/>
        <v>Pre-COVID</v>
      </c>
    </row>
    <row r="95" spans="1:42" x14ac:dyDescent="0.25">
      <c r="A95" t="s">
        <v>30</v>
      </c>
      <c r="B95">
        <v>2015</v>
      </c>
      <c r="C95" t="s">
        <v>41</v>
      </c>
      <c r="D95" s="3">
        <f>DATE(B95,MATCH(C95,{"January","February","March","April","May","June","July","August","September","October","November","December"},0),1)</f>
        <v>42217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>
        <v>120.9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  <c r="AF95">
        <f t="shared" si="2"/>
        <v>126.66153846153846</v>
      </c>
      <c r="AG95">
        <v>130.1</v>
      </c>
      <c r="AH95">
        <f>Table1[[#This Row],[Clothing and footwear]]</f>
        <v>129</v>
      </c>
      <c r="AI95">
        <v>120.9</v>
      </c>
      <c r="AJ95">
        <v>123.8</v>
      </c>
      <c r="AK95">
        <f>AVERAGE(Table1[[#This Row],[Household goods and services]],Table1[[#This Row],[Personal care and effects]])</f>
        <v>118.1</v>
      </c>
      <c r="AL95">
        <f>Table1[[#This Row],[Health]]</f>
        <v>121.1</v>
      </c>
      <c r="AM95">
        <v>113.6</v>
      </c>
      <c r="AN95">
        <f>AVERAGE(Table1[[#This Row],[Education]],Table1[[#This Row],[Recreation and amusement]])</f>
        <v>121.05</v>
      </c>
      <c r="AO95">
        <f>Table1[[#This Row],[Miscellaneous]]</f>
        <v>118.2</v>
      </c>
      <c r="AP95" t="str">
        <f t="shared" si="3"/>
        <v>Pre-COVID</v>
      </c>
    </row>
    <row r="96" spans="1:42" x14ac:dyDescent="0.25">
      <c r="A96" t="s">
        <v>33</v>
      </c>
      <c r="B96">
        <v>2015</v>
      </c>
      <c r="C96" t="s">
        <v>41</v>
      </c>
      <c r="D96" s="3">
        <f>DATE(B96,MATCH(C96,{"January","February","March","April","May","June","July","August","September","October","November","December"},0),1)</f>
        <v>42217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  <c r="AF96">
        <f t="shared" si="2"/>
        <v>127.6076923076923</v>
      </c>
      <c r="AG96">
        <v>134.19999999999999</v>
      </c>
      <c r="AH96">
        <f>Table1[[#This Row],[Clothing and footwear]]</f>
        <v>122.9</v>
      </c>
      <c r="AI96">
        <v>120.9</v>
      </c>
      <c r="AJ96">
        <v>115.3</v>
      </c>
      <c r="AK96">
        <f>AVERAGE(Table1[[#This Row],[Household goods and services]],Table1[[#This Row],[Personal care and effects]])</f>
        <v>116</v>
      </c>
      <c r="AL96">
        <f>Table1[[#This Row],[Health]]</f>
        <v>116.6</v>
      </c>
      <c r="AM96">
        <v>109.9</v>
      </c>
      <c r="AN96">
        <f>AVERAGE(Table1[[#This Row],[Education]],Table1[[#This Row],[Recreation and amusement]])</f>
        <v>121.7</v>
      </c>
      <c r="AO96">
        <f>Table1[[#This Row],[Miscellaneous]]</f>
        <v>116.2</v>
      </c>
      <c r="AP96" t="str">
        <f t="shared" si="3"/>
        <v>Pre-COVID</v>
      </c>
    </row>
    <row r="97" spans="1:42" x14ac:dyDescent="0.25">
      <c r="A97" t="s">
        <v>34</v>
      </c>
      <c r="B97">
        <v>2015</v>
      </c>
      <c r="C97" t="s">
        <v>41</v>
      </c>
      <c r="D97" s="3">
        <f>DATE(B97,MATCH(C97,{"January","February","March","April","May","June","July","August","September","October","November","December"},0),1)</f>
        <v>42217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  <c r="AF97">
        <f t="shared" si="2"/>
        <v>126.89230769230768</v>
      </c>
      <c r="AG97">
        <v>131.19999999999999</v>
      </c>
      <c r="AH97">
        <f>Table1[[#This Row],[Clothing and footwear]]</f>
        <v>126.6</v>
      </c>
      <c r="AI97">
        <v>120.9</v>
      </c>
      <c r="AJ97">
        <v>120.6</v>
      </c>
      <c r="AK97">
        <f>AVERAGE(Table1[[#This Row],[Household goods and services]],Table1[[#This Row],[Personal care and effects]])</f>
        <v>117.15</v>
      </c>
      <c r="AL97">
        <f>Table1[[#This Row],[Health]]</f>
        <v>119.4</v>
      </c>
      <c r="AM97">
        <v>111.7</v>
      </c>
      <c r="AN97">
        <f>AVERAGE(Table1[[#This Row],[Education]],Table1[[#This Row],[Recreation and amusement]])</f>
        <v>121.44999999999999</v>
      </c>
      <c r="AO97">
        <f>Table1[[#This Row],[Miscellaneous]]</f>
        <v>117.2</v>
      </c>
      <c r="AP97" t="str">
        <f t="shared" si="3"/>
        <v>Pre-COVID</v>
      </c>
    </row>
    <row r="98" spans="1:42" x14ac:dyDescent="0.25">
      <c r="A98" t="s">
        <v>30</v>
      </c>
      <c r="B98">
        <v>2015</v>
      </c>
      <c r="C98" t="s">
        <v>42</v>
      </c>
      <c r="D98" s="3">
        <f>DATE(B98,MATCH(C98,{"January","February","March","April","May","June","July","August","September","October","November","December"},0),1)</f>
        <v>42248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>
        <v>121.6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  <c r="AF98">
        <f t="shared" si="2"/>
        <v>127.50769230769232</v>
      </c>
      <c r="AG98">
        <v>131</v>
      </c>
      <c r="AH98">
        <f>Table1[[#This Row],[Clothing and footwear]]</f>
        <v>129.9</v>
      </c>
      <c r="AI98">
        <v>121.6</v>
      </c>
      <c r="AJ98">
        <v>123.7</v>
      </c>
      <c r="AK98">
        <f>AVERAGE(Table1[[#This Row],[Household goods and services]],Table1[[#This Row],[Personal care and effects]])</f>
        <v>119.1</v>
      </c>
      <c r="AL98">
        <f>Table1[[#This Row],[Health]]</f>
        <v>121.4</v>
      </c>
      <c r="AM98">
        <v>113.8</v>
      </c>
      <c r="AN98">
        <f>AVERAGE(Table1[[#This Row],[Education]],Table1[[#This Row],[Recreation and amusement]])</f>
        <v>122.05</v>
      </c>
      <c r="AO98">
        <f>Table1[[#This Row],[Miscellaneous]]</f>
        <v>118.8</v>
      </c>
      <c r="AP98" t="str">
        <f t="shared" si="3"/>
        <v>Pre-COVID</v>
      </c>
    </row>
    <row r="99" spans="1:42" x14ac:dyDescent="0.25">
      <c r="A99" t="s">
        <v>33</v>
      </c>
      <c r="B99">
        <v>2015</v>
      </c>
      <c r="C99" t="s">
        <v>42</v>
      </c>
      <c r="D99" s="3">
        <f>DATE(B99,MATCH(C99,{"January","February","March","April","May","June","July","August","September","October","November","December"},0),1)</f>
        <v>42248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  <c r="AF99">
        <f t="shared" si="2"/>
        <v>128.06153846153845</v>
      </c>
      <c r="AG99">
        <v>134.69999999999999</v>
      </c>
      <c r="AH99">
        <f>Table1[[#This Row],[Clothing and footwear]]</f>
        <v>123.2</v>
      </c>
      <c r="AI99">
        <v>121.6</v>
      </c>
      <c r="AJ99">
        <v>115.1</v>
      </c>
      <c r="AK99">
        <f>AVERAGE(Table1[[#This Row],[Household goods and services]],Table1[[#This Row],[Personal care and effects]])</f>
        <v>116.65</v>
      </c>
      <c r="AL99">
        <f>Table1[[#This Row],[Health]]</f>
        <v>117.1</v>
      </c>
      <c r="AM99">
        <v>109.1</v>
      </c>
      <c r="AN99">
        <f>AVERAGE(Table1[[#This Row],[Education]],Table1[[#This Row],[Recreation and amusement]])</f>
        <v>121.9</v>
      </c>
      <c r="AO99">
        <f>Table1[[#This Row],[Miscellaneous]]</f>
        <v>116.2</v>
      </c>
      <c r="AP99" t="str">
        <f t="shared" si="3"/>
        <v>Pre-COVID</v>
      </c>
    </row>
    <row r="100" spans="1:42" x14ac:dyDescent="0.25">
      <c r="A100" t="s">
        <v>34</v>
      </c>
      <c r="B100">
        <v>2015</v>
      </c>
      <c r="C100" t="s">
        <v>42</v>
      </c>
      <c r="D100" s="3">
        <f>DATE(B100,MATCH(C100,{"January","February","March","April","May","June","July","August","September","October","November","December"},0),1)</f>
        <v>42248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  <c r="AF100">
        <f t="shared" si="2"/>
        <v>127.56153846153848</v>
      </c>
      <c r="AG100">
        <v>132</v>
      </c>
      <c r="AH100">
        <f>Table1[[#This Row],[Clothing and footwear]]</f>
        <v>127.2</v>
      </c>
      <c r="AI100">
        <v>121.6</v>
      </c>
      <c r="AJ100">
        <v>120.4</v>
      </c>
      <c r="AK100">
        <f>AVERAGE(Table1[[#This Row],[Household goods and services]],Table1[[#This Row],[Personal care and effects]])</f>
        <v>118</v>
      </c>
      <c r="AL100">
        <f>Table1[[#This Row],[Health]]</f>
        <v>119.8</v>
      </c>
      <c r="AM100">
        <v>111.3</v>
      </c>
      <c r="AN100">
        <f>AVERAGE(Table1[[#This Row],[Education]],Table1[[#This Row],[Recreation and amusement]])</f>
        <v>122</v>
      </c>
      <c r="AO100">
        <f>Table1[[#This Row],[Miscellaneous]]</f>
        <v>117.5</v>
      </c>
      <c r="AP100" t="str">
        <f t="shared" si="3"/>
        <v>Pre-COVID</v>
      </c>
    </row>
    <row r="101" spans="1:42" x14ac:dyDescent="0.25">
      <c r="A101" t="s">
        <v>30</v>
      </c>
      <c r="B101">
        <v>2015</v>
      </c>
      <c r="C101" t="s">
        <v>43</v>
      </c>
      <c r="D101" s="3">
        <f>DATE(B101,MATCH(C101,{"January","February","March","April","May","June","July","August","September","October","November","December"},0),1)</f>
        <v>42278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>
        <v>122.4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  <c r="AF101">
        <f t="shared" si="2"/>
        <v>128.8153846153846</v>
      </c>
      <c r="AG101">
        <v>131.5</v>
      </c>
      <c r="AH101">
        <f>Table1[[#This Row],[Clothing and footwear]]</f>
        <v>130.6</v>
      </c>
      <c r="AI101">
        <v>122.4</v>
      </c>
      <c r="AJ101">
        <v>124.4</v>
      </c>
      <c r="AK101">
        <f>AVERAGE(Table1[[#This Row],[Household goods and services]],Table1[[#This Row],[Personal care and effects]])</f>
        <v>119.65</v>
      </c>
      <c r="AL101">
        <f>Table1[[#This Row],[Health]]</f>
        <v>122</v>
      </c>
      <c r="AM101">
        <v>113.8</v>
      </c>
      <c r="AN101">
        <f>AVERAGE(Table1[[#This Row],[Education]],Table1[[#This Row],[Recreation and amusement]])</f>
        <v>122.6</v>
      </c>
      <c r="AO101">
        <f>Table1[[#This Row],[Miscellaneous]]</f>
        <v>119.2</v>
      </c>
      <c r="AP101" t="str">
        <f t="shared" si="3"/>
        <v>Pre-COVID</v>
      </c>
    </row>
    <row r="102" spans="1:42" x14ac:dyDescent="0.25">
      <c r="A102" t="s">
        <v>33</v>
      </c>
      <c r="B102">
        <v>2015</v>
      </c>
      <c r="C102" t="s">
        <v>43</v>
      </c>
      <c r="D102" s="3">
        <f>DATE(B102,MATCH(C102,{"January","February","March","April","May","June","July","August","September","October","November","December"},0),1)</f>
        <v>42278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  <c r="AF102">
        <f t="shared" si="2"/>
        <v>130.21538461538464</v>
      </c>
      <c r="AG102">
        <v>135.30000000000001</v>
      </c>
      <c r="AH102">
        <f>Table1[[#This Row],[Clothing and footwear]]</f>
        <v>123.6</v>
      </c>
      <c r="AI102">
        <v>122.4</v>
      </c>
      <c r="AJ102">
        <v>114.9</v>
      </c>
      <c r="AK102">
        <f>AVERAGE(Table1[[#This Row],[Household goods and services]],Table1[[#This Row],[Personal care and effects]])</f>
        <v>117.1</v>
      </c>
      <c r="AL102">
        <f>Table1[[#This Row],[Health]]</f>
        <v>117.7</v>
      </c>
      <c r="AM102">
        <v>109.3</v>
      </c>
      <c r="AN102">
        <f>AVERAGE(Table1[[#This Row],[Education]],Table1[[#This Row],[Recreation and amusement]])</f>
        <v>122.1</v>
      </c>
      <c r="AO102">
        <f>Table1[[#This Row],[Miscellaneous]]</f>
        <v>116.5</v>
      </c>
      <c r="AP102" t="str">
        <f t="shared" si="3"/>
        <v>Pre-COVID</v>
      </c>
    </row>
    <row r="103" spans="1:42" x14ac:dyDescent="0.25">
      <c r="A103" t="s">
        <v>34</v>
      </c>
      <c r="B103">
        <v>2015</v>
      </c>
      <c r="C103" t="s">
        <v>43</v>
      </c>
      <c r="D103" s="3">
        <f>DATE(B103,MATCH(C103,{"January","February","March","April","May","June","July","August","September","October","November","December"},0),1)</f>
        <v>42278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  <c r="AF103">
        <f t="shared" si="2"/>
        <v>129.15384615384613</v>
      </c>
      <c r="AG103">
        <v>132.5</v>
      </c>
      <c r="AH103">
        <f>Table1[[#This Row],[Clothing and footwear]]</f>
        <v>127.8</v>
      </c>
      <c r="AI103">
        <v>122.4</v>
      </c>
      <c r="AJ103">
        <v>120.8</v>
      </c>
      <c r="AK103">
        <f>AVERAGE(Table1[[#This Row],[Household goods and services]],Table1[[#This Row],[Personal care and effects]])</f>
        <v>118.45</v>
      </c>
      <c r="AL103">
        <f>Table1[[#This Row],[Health]]</f>
        <v>120.4</v>
      </c>
      <c r="AM103">
        <v>111.4</v>
      </c>
      <c r="AN103">
        <f>AVERAGE(Table1[[#This Row],[Education]],Table1[[#This Row],[Recreation and amusement]])</f>
        <v>122.30000000000001</v>
      </c>
      <c r="AO103">
        <f>Table1[[#This Row],[Miscellaneous]]</f>
        <v>117.9</v>
      </c>
      <c r="AP103" t="str">
        <f t="shared" si="3"/>
        <v>Pre-COVID</v>
      </c>
    </row>
    <row r="104" spans="1:42" x14ac:dyDescent="0.25">
      <c r="A104" t="s">
        <v>30</v>
      </c>
      <c r="B104">
        <v>2015</v>
      </c>
      <c r="C104" t="s">
        <v>45</v>
      </c>
      <c r="D104" s="3">
        <f>DATE(B104,MATCH(C104,{"January","February","March","April","May","June","July","August","September","October","November","December"},0),1)</f>
        <v>42309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>
        <v>122.9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  <c r="AF104">
        <f t="shared" si="2"/>
        <v>129.71538461538461</v>
      </c>
      <c r="AG104">
        <v>132.19999999999999</v>
      </c>
      <c r="AH104">
        <f>Table1[[#This Row],[Clothing and footwear]]</f>
        <v>131.5</v>
      </c>
      <c r="AI104">
        <v>122.9</v>
      </c>
      <c r="AJ104">
        <v>125.6</v>
      </c>
      <c r="AK104">
        <f>AVERAGE(Table1[[#This Row],[Household goods and services]],Table1[[#This Row],[Personal care and effects]])</f>
        <v>119.9</v>
      </c>
      <c r="AL104">
        <f>Table1[[#This Row],[Health]]</f>
        <v>122.6</v>
      </c>
      <c r="AM104">
        <v>114</v>
      </c>
      <c r="AN104">
        <f>AVERAGE(Table1[[#This Row],[Education]],Table1[[#This Row],[Recreation and amusement]])</f>
        <v>123.35</v>
      </c>
      <c r="AO104">
        <f>Table1[[#This Row],[Miscellaneous]]</f>
        <v>119.6</v>
      </c>
      <c r="AP104" t="str">
        <f t="shared" si="3"/>
        <v>Pre-COVID</v>
      </c>
    </row>
    <row r="105" spans="1:42" x14ac:dyDescent="0.25">
      <c r="A105" t="s">
        <v>33</v>
      </c>
      <c r="B105">
        <v>2015</v>
      </c>
      <c r="C105" t="s">
        <v>45</v>
      </c>
      <c r="D105" s="3">
        <f>DATE(B105,MATCH(C105,{"January","February","March","April","May","June","July","August","September","October","November","December"},0),1)</f>
        <v>42309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  <c r="AF105">
        <f t="shared" si="2"/>
        <v>131.42307692307691</v>
      </c>
      <c r="AG105">
        <v>137.6</v>
      </c>
      <c r="AH105">
        <f>Table1[[#This Row],[Clothing and footwear]]</f>
        <v>124.2</v>
      </c>
      <c r="AI105">
        <v>122.9</v>
      </c>
      <c r="AJ105">
        <v>115.1</v>
      </c>
      <c r="AK105">
        <f>AVERAGE(Table1[[#This Row],[Household goods and services]],Table1[[#This Row],[Personal care and effects]])</f>
        <v>117.15</v>
      </c>
      <c r="AL105">
        <f>Table1[[#This Row],[Health]]</f>
        <v>118.1</v>
      </c>
      <c r="AM105">
        <v>109.3</v>
      </c>
      <c r="AN105">
        <f>AVERAGE(Table1[[#This Row],[Education]],Table1[[#This Row],[Recreation and amusement]])</f>
        <v>122.25</v>
      </c>
      <c r="AO105">
        <f>Table1[[#This Row],[Miscellaneous]]</f>
        <v>116.6</v>
      </c>
      <c r="AP105" t="str">
        <f t="shared" si="3"/>
        <v>Pre-COVID</v>
      </c>
    </row>
    <row r="106" spans="1:42" x14ac:dyDescent="0.25">
      <c r="A106" t="s">
        <v>34</v>
      </c>
      <c r="B106">
        <v>2015</v>
      </c>
      <c r="C106" t="s">
        <v>45</v>
      </c>
      <c r="D106" s="3">
        <f>DATE(B106,MATCH(C106,{"January","February","March","April","May","June","July","August","September","October","November","December"},0),1)</f>
        <v>42309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  <c r="AF106">
        <f t="shared" si="2"/>
        <v>130.16153846153844</v>
      </c>
      <c r="AG106">
        <v>133.6</v>
      </c>
      <c r="AH106">
        <f>Table1[[#This Row],[Clothing and footwear]]</f>
        <v>128.6</v>
      </c>
      <c r="AI106">
        <v>122.9</v>
      </c>
      <c r="AJ106">
        <v>121.6</v>
      </c>
      <c r="AK106">
        <f>AVERAGE(Table1[[#This Row],[Household goods and services]],Table1[[#This Row],[Personal care and effects]])</f>
        <v>118.6</v>
      </c>
      <c r="AL106">
        <f>Table1[[#This Row],[Health]]</f>
        <v>120.9</v>
      </c>
      <c r="AM106">
        <v>111.5</v>
      </c>
      <c r="AN106">
        <f>AVERAGE(Table1[[#This Row],[Education]],Table1[[#This Row],[Recreation and amusement]])</f>
        <v>122.75</v>
      </c>
      <c r="AO106">
        <f>Table1[[#This Row],[Miscellaneous]]</f>
        <v>118.1</v>
      </c>
      <c r="AP106" t="str">
        <f t="shared" si="3"/>
        <v>Pre-COVID</v>
      </c>
    </row>
    <row r="107" spans="1:42" x14ac:dyDescent="0.25">
      <c r="A107" t="s">
        <v>30</v>
      </c>
      <c r="B107">
        <v>2015</v>
      </c>
      <c r="C107" t="s">
        <v>46</v>
      </c>
      <c r="D107" s="3">
        <f>DATE(B107,MATCH(C107,{"January","February","March","April","May","June","July","August","September","October","November","December"},0),1)</f>
        <v>42339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>
        <v>122.4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  <c r="AF107">
        <f t="shared" si="2"/>
        <v>129.40769230769232</v>
      </c>
      <c r="AG107">
        <v>133.1</v>
      </c>
      <c r="AH107">
        <f>Table1[[#This Row],[Clothing and footwear]]</f>
        <v>131.9</v>
      </c>
      <c r="AI107">
        <v>122.4</v>
      </c>
      <c r="AJ107">
        <v>125.7</v>
      </c>
      <c r="AK107">
        <f>AVERAGE(Table1[[#This Row],[Household goods and services]],Table1[[#This Row],[Personal care and effects]])</f>
        <v>120.05</v>
      </c>
      <c r="AL107">
        <f>Table1[[#This Row],[Health]]</f>
        <v>123.1</v>
      </c>
      <c r="AM107">
        <v>114</v>
      </c>
      <c r="AN107">
        <f>AVERAGE(Table1[[#This Row],[Education]],Table1[[#This Row],[Recreation and amusement]])</f>
        <v>123.6</v>
      </c>
      <c r="AO107">
        <f>Table1[[#This Row],[Miscellaneous]]</f>
        <v>119.8</v>
      </c>
      <c r="AP107" t="str">
        <f t="shared" si="3"/>
        <v>Pre-COVID</v>
      </c>
    </row>
    <row r="108" spans="1:42" x14ac:dyDescent="0.25">
      <c r="A108" t="s">
        <v>33</v>
      </c>
      <c r="B108">
        <v>2015</v>
      </c>
      <c r="C108" t="s">
        <v>46</v>
      </c>
      <c r="D108" s="3">
        <f>DATE(B108,MATCH(C108,{"January","February","March","April","May","June","July","August","September","October","November","December"},0),1)</f>
        <v>42339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  <c r="AF108">
        <f t="shared" si="2"/>
        <v>130.67692307692306</v>
      </c>
      <c r="AG108">
        <v>138.19999999999999</v>
      </c>
      <c r="AH108">
        <f>Table1[[#This Row],[Clothing and footwear]]</f>
        <v>124.5</v>
      </c>
      <c r="AI108">
        <v>122.4</v>
      </c>
      <c r="AJ108">
        <v>116</v>
      </c>
      <c r="AK108">
        <f>AVERAGE(Table1[[#This Row],[Household goods and services]],Table1[[#This Row],[Personal care and effects]])</f>
        <v>117.1</v>
      </c>
      <c r="AL108">
        <f>Table1[[#This Row],[Health]]</f>
        <v>118.6</v>
      </c>
      <c r="AM108">
        <v>109.3</v>
      </c>
      <c r="AN108">
        <f>AVERAGE(Table1[[#This Row],[Education]],Table1[[#This Row],[Recreation and amusement]])</f>
        <v>122.35</v>
      </c>
      <c r="AO108">
        <f>Table1[[#This Row],[Miscellaneous]]</f>
        <v>116.7</v>
      </c>
      <c r="AP108" t="str">
        <f t="shared" si="3"/>
        <v>Pre-COVID</v>
      </c>
    </row>
    <row r="109" spans="1:42" x14ac:dyDescent="0.25">
      <c r="A109" t="s">
        <v>34</v>
      </c>
      <c r="B109">
        <v>2015</v>
      </c>
      <c r="C109" t="s">
        <v>46</v>
      </c>
      <c r="D109" s="3">
        <f>DATE(B109,MATCH(C109,{"January","February","March","April","May","June","July","August","September","October","November","December"},0),1)</f>
        <v>42339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  <c r="AF109">
        <f t="shared" si="2"/>
        <v>129.70000000000002</v>
      </c>
      <c r="AG109">
        <v>134.5</v>
      </c>
      <c r="AH109">
        <f>Table1[[#This Row],[Clothing and footwear]]</f>
        <v>129</v>
      </c>
      <c r="AI109">
        <v>122.4</v>
      </c>
      <c r="AJ109">
        <v>122</v>
      </c>
      <c r="AK109">
        <f>AVERAGE(Table1[[#This Row],[Household goods and services]],Table1[[#This Row],[Personal care and effects]])</f>
        <v>118.65</v>
      </c>
      <c r="AL109">
        <f>Table1[[#This Row],[Health]]</f>
        <v>121.4</v>
      </c>
      <c r="AM109">
        <v>111.5</v>
      </c>
      <c r="AN109">
        <f>AVERAGE(Table1[[#This Row],[Education]],Table1[[#This Row],[Recreation and amusement]])</f>
        <v>122.9</v>
      </c>
      <c r="AO109">
        <f>Table1[[#This Row],[Miscellaneous]]</f>
        <v>118.3</v>
      </c>
      <c r="AP109" t="str">
        <f t="shared" si="3"/>
        <v>Pre-COVID</v>
      </c>
    </row>
    <row r="110" spans="1:42" x14ac:dyDescent="0.25">
      <c r="A110" t="s">
        <v>30</v>
      </c>
      <c r="B110">
        <v>2016</v>
      </c>
      <c r="C110" t="s">
        <v>31</v>
      </c>
      <c r="D110" s="3">
        <f>DATE(B110,MATCH(C110,{"January","February","March","April","May","June","July","August","September","October","November","December"},0),1)</f>
        <v>42370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>
        <v>123.4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  <c r="AF110">
        <f t="shared" si="2"/>
        <v>130.00769230769231</v>
      </c>
      <c r="AG110">
        <v>133.6</v>
      </c>
      <c r="AH110">
        <f>Table1[[#This Row],[Clothing and footwear]]</f>
        <v>132.6</v>
      </c>
      <c r="AI110">
        <v>123.4</v>
      </c>
      <c r="AJ110">
        <v>126.2</v>
      </c>
      <c r="AK110">
        <f>AVERAGE(Table1[[#This Row],[Household goods and services]],Table1[[#This Row],[Personal care and effects]])</f>
        <v>120.75</v>
      </c>
      <c r="AL110">
        <f>Table1[[#This Row],[Health]]</f>
        <v>123.7</v>
      </c>
      <c r="AM110">
        <v>113.6</v>
      </c>
      <c r="AN110">
        <f>AVERAGE(Table1[[#This Row],[Education]],Table1[[#This Row],[Recreation and amusement]])</f>
        <v>123.80000000000001</v>
      </c>
      <c r="AO110">
        <f>Table1[[#This Row],[Miscellaneous]]</f>
        <v>120.1</v>
      </c>
      <c r="AP110" t="str">
        <f t="shared" si="3"/>
        <v>Pre-COVID</v>
      </c>
    </row>
    <row r="111" spans="1:42" x14ac:dyDescent="0.25">
      <c r="A111" t="s">
        <v>33</v>
      </c>
      <c r="B111">
        <v>2016</v>
      </c>
      <c r="C111" t="s">
        <v>31</v>
      </c>
      <c r="D111" s="3">
        <f>DATE(B111,MATCH(C111,{"January","February","March","April","May","June","July","August","September","October","November","December"},0),1)</f>
        <v>42370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  <c r="AF111">
        <f t="shared" si="2"/>
        <v>130.87692307692308</v>
      </c>
      <c r="AG111">
        <v>139.5</v>
      </c>
      <c r="AH111">
        <f>Table1[[#This Row],[Clothing and footwear]]</f>
        <v>124.9</v>
      </c>
      <c r="AI111">
        <v>123.4</v>
      </c>
      <c r="AJ111">
        <v>116.9</v>
      </c>
      <c r="AK111">
        <f>AVERAGE(Table1[[#This Row],[Household goods and services]],Table1[[#This Row],[Personal care and effects]])</f>
        <v>117.8</v>
      </c>
      <c r="AL111">
        <f>Table1[[#This Row],[Health]]</f>
        <v>119.1</v>
      </c>
      <c r="AM111">
        <v>108.9</v>
      </c>
      <c r="AN111">
        <f>AVERAGE(Table1[[#This Row],[Education]],Table1[[#This Row],[Recreation and amusement]])</f>
        <v>122.45</v>
      </c>
      <c r="AO111">
        <f>Table1[[#This Row],[Miscellaneous]]</f>
        <v>116.8</v>
      </c>
      <c r="AP111" t="str">
        <f t="shared" si="3"/>
        <v>Pre-COVID</v>
      </c>
    </row>
    <row r="112" spans="1:42" x14ac:dyDescent="0.25">
      <c r="A112" t="s">
        <v>34</v>
      </c>
      <c r="B112">
        <v>2016</v>
      </c>
      <c r="C112" t="s">
        <v>31</v>
      </c>
      <c r="D112" s="3">
        <f>DATE(B112,MATCH(C112,{"January","February","March","April","May","June","July","August","September","October","November","December"},0),1)</f>
        <v>42370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  <c r="AF112">
        <f t="shared" si="2"/>
        <v>130.13076923076923</v>
      </c>
      <c r="AG112">
        <v>135.19999999999999</v>
      </c>
      <c r="AH112">
        <f>Table1[[#This Row],[Clothing and footwear]]</f>
        <v>129.5</v>
      </c>
      <c r="AI112">
        <v>123.4</v>
      </c>
      <c r="AJ112">
        <v>122.7</v>
      </c>
      <c r="AK112">
        <f>AVERAGE(Table1[[#This Row],[Household goods and services]],Table1[[#This Row],[Personal care and effects]])</f>
        <v>119.35</v>
      </c>
      <c r="AL112">
        <f>Table1[[#This Row],[Health]]</f>
        <v>122</v>
      </c>
      <c r="AM112">
        <v>111.1</v>
      </c>
      <c r="AN112">
        <f>AVERAGE(Table1[[#This Row],[Education]],Table1[[#This Row],[Recreation and amusement]])</f>
        <v>123.05</v>
      </c>
      <c r="AO112">
        <f>Table1[[#This Row],[Miscellaneous]]</f>
        <v>118.5</v>
      </c>
      <c r="AP112" t="str">
        <f t="shared" si="3"/>
        <v>Pre-COVID</v>
      </c>
    </row>
    <row r="113" spans="1:42" x14ac:dyDescent="0.25">
      <c r="A113" t="s">
        <v>30</v>
      </c>
      <c r="B113">
        <v>2016</v>
      </c>
      <c r="C113" t="s">
        <v>35</v>
      </c>
      <c r="D113" s="3">
        <f>DATE(B113,MATCH(C113,{"January","February","March","April","May","June","July","August","September","October","November","December"},0),1)</f>
        <v>42401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>
        <v>124.4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  <c r="AF113">
        <f t="shared" si="2"/>
        <v>129.43076923076922</v>
      </c>
      <c r="AG113">
        <v>134.4</v>
      </c>
      <c r="AH113">
        <f>Table1[[#This Row],[Clothing and footwear]]</f>
        <v>133.4</v>
      </c>
      <c r="AI113">
        <v>124.4</v>
      </c>
      <c r="AJ113">
        <v>127.5</v>
      </c>
      <c r="AK113">
        <f>AVERAGE(Table1[[#This Row],[Household goods and services]],Table1[[#This Row],[Personal care and effects]])</f>
        <v>121.94999999999999</v>
      </c>
      <c r="AL113">
        <f>Table1[[#This Row],[Health]]</f>
        <v>124.3</v>
      </c>
      <c r="AM113">
        <v>113.9</v>
      </c>
      <c r="AN113">
        <f>AVERAGE(Table1[[#This Row],[Education]],Table1[[#This Row],[Recreation and amusement]])</f>
        <v>124.69999999999999</v>
      </c>
      <c r="AO113">
        <f>Table1[[#This Row],[Miscellaneous]]</f>
        <v>120.9</v>
      </c>
      <c r="AP113" t="str">
        <f t="shared" si="3"/>
        <v>Pre-COVID</v>
      </c>
    </row>
    <row r="114" spans="1:42" x14ac:dyDescent="0.25">
      <c r="A114" t="s">
        <v>33</v>
      </c>
      <c r="B114">
        <v>2016</v>
      </c>
      <c r="C114" t="s">
        <v>35</v>
      </c>
      <c r="D114" s="3">
        <f>DATE(B114,MATCH(C114,{"January","February","March","April","May","June","July","August","September","October","November","December"},0),1)</f>
        <v>42401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  <c r="AF114">
        <f t="shared" si="2"/>
        <v>128.93076923076922</v>
      </c>
      <c r="AG114">
        <v>140</v>
      </c>
      <c r="AH114">
        <f>Table1[[#This Row],[Clothing and footwear]]</f>
        <v>125.3</v>
      </c>
      <c r="AI114">
        <v>124.4</v>
      </c>
      <c r="AJ114">
        <v>116</v>
      </c>
      <c r="AK114">
        <f>AVERAGE(Table1[[#This Row],[Household goods and services]],Table1[[#This Row],[Personal care and effects]])</f>
        <v>119</v>
      </c>
      <c r="AL114">
        <f>Table1[[#This Row],[Health]]</f>
        <v>119.5</v>
      </c>
      <c r="AM114">
        <v>109.1</v>
      </c>
      <c r="AN114">
        <f>AVERAGE(Table1[[#This Row],[Education]],Table1[[#This Row],[Recreation and amusement]])</f>
        <v>122.55</v>
      </c>
      <c r="AO114">
        <f>Table1[[#This Row],[Miscellaneous]]</f>
        <v>117.2</v>
      </c>
      <c r="AP114" t="str">
        <f t="shared" si="3"/>
        <v>Pre-COVID</v>
      </c>
    </row>
    <row r="115" spans="1:42" x14ac:dyDescent="0.25">
      <c r="A115" t="s">
        <v>34</v>
      </c>
      <c r="B115">
        <v>2016</v>
      </c>
      <c r="C115" t="s">
        <v>35</v>
      </c>
      <c r="D115" s="3">
        <f>DATE(B115,MATCH(C115,{"January","February","March","April","May","June","July","August","September","October","November","December"},0),1)</f>
        <v>42401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  <c r="AF115">
        <f t="shared" si="2"/>
        <v>129.08461538461538</v>
      </c>
      <c r="AG115">
        <v>135.9</v>
      </c>
      <c r="AH115">
        <f>Table1[[#This Row],[Clothing and footwear]]</f>
        <v>130.19999999999999</v>
      </c>
      <c r="AI115">
        <v>124.4</v>
      </c>
      <c r="AJ115">
        <v>123.1</v>
      </c>
      <c r="AK115">
        <f>AVERAGE(Table1[[#This Row],[Household goods and services]],Table1[[#This Row],[Personal care and effects]])</f>
        <v>120.6</v>
      </c>
      <c r="AL115">
        <f>Table1[[#This Row],[Health]]</f>
        <v>122.5</v>
      </c>
      <c r="AM115">
        <v>111.4</v>
      </c>
      <c r="AN115">
        <f>AVERAGE(Table1[[#This Row],[Education]],Table1[[#This Row],[Recreation and amusement]])</f>
        <v>123.44999999999999</v>
      </c>
      <c r="AO115">
        <f>Table1[[#This Row],[Miscellaneous]]</f>
        <v>119.1</v>
      </c>
      <c r="AP115" t="str">
        <f t="shared" si="3"/>
        <v>Pre-COVID</v>
      </c>
    </row>
    <row r="116" spans="1:42" x14ac:dyDescent="0.25">
      <c r="A116" t="s">
        <v>30</v>
      </c>
      <c r="B116">
        <v>2016</v>
      </c>
      <c r="C116" t="s">
        <v>36</v>
      </c>
      <c r="D116" s="3">
        <f>DATE(B116,MATCH(C116,{"January","February","March","April","May","June","July","August","September","October","November","December"},0),1)</f>
        <v>42430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>
        <v>124.9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  <c r="AF116">
        <f t="shared" si="2"/>
        <v>129.43846153846155</v>
      </c>
      <c r="AG116">
        <v>135</v>
      </c>
      <c r="AH116">
        <f>Table1[[#This Row],[Clothing and footwear]]</f>
        <v>133.80000000000001</v>
      </c>
      <c r="AI116">
        <v>124.9</v>
      </c>
      <c r="AJ116">
        <v>127</v>
      </c>
      <c r="AK116">
        <f>AVERAGE(Table1[[#This Row],[Household goods and services]],Table1[[#This Row],[Personal care and effects]])</f>
        <v>122.55000000000001</v>
      </c>
      <c r="AL116">
        <f>Table1[[#This Row],[Health]]</f>
        <v>124.8</v>
      </c>
      <c r="AM116">
        <v>113.6</v>
      </c>
      <c r="AN116">
        <f>AVERAGE(Table1[[#This Row],[Education]],Table1[[#This Row],[Recreation and amusement]])</f>
        <v>125</v>
      </c>
      <c r="AO116">
        <f>Table1[[#This Row],[Miscellaneous]]</f>
        <v>121.1</v>
      </c>
      <c r="AP116" t="str">
        <f t="shared" si="3"/>
        <v>Pre-COVID</v>
      </c>
    </row>
    <row r="117" spans="1:42" x14ac:dyDescent="0.25">
      <c r="A117" t="s">
        <v>33</v>
      </c>
      <c r="B117">
        <v>2016</v>
      </c>
      <c r="C117" t="s">
        <v>36</v>
      </c>
      <c r="D117" s="3">
        <f>DATE(B117,MATCH(C117,{"January","February","March","April","May","June","July","August","September","October","November","December"},0),1)</f>
        <v>42430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  <c r="AF117">
        <f t="shared" si="2"/>
        <v>128.27692307692308</v>
      </c>
      <c r="AG117">
        <v>140.6</v>
      </c>
      <c r="AH117">
        <f>Table1[[#This Row],[Clothing and footwear]]</f>
        <v>125.5</v>
      </c>
      <c r="AI117">
        <v>124.9</v>
      </c>
      <c r="AJ117">
        <v>114.8</v>
      </c>
      <c r="AK117">
        <f>AVERAGE(Table1[[#This Row],[Household goods and services]],Table1[[#This Row],[Personal care and effects]])</f>
        <v>119.69999999999999</v>
      </c>
      <c r="AL117">
        <f>Table1[[#This Row],[Health]]</f>
        <v>119.7</v>
      </c>
      <c r="AM117">
        <v>108.5</v>
      </c>
      <c r="AN117">
        <f>AVERAGE(Table1[[#This Row],[Education]],Table1[[#This Row],[Recreation and amusement]])</f>
        <v>122.75</v>
      </c>
      <c r="AO117">
        <f>Table1[[#This Row],[Miscellaneous]]</f>
        <v>117.3</v>
      </c>
      <c r="AP117" t="str">
        <f t="shared" si="3"/>
        <v>Pre-COVID</v>
      </c>
    </row>
    <row r="118" spans="1:42" x14ac:dyDescent="0.25">
      <c r="A118" t="s">
        <v>34</v>
      </c>
      <c r="B118">
        <v>2016</v>
      </c>
      <c r="C118" t="s">
        <v>36</v>
      </c>
      <c r="D118" s="3">
        <f>DATE(B118,MATCH(C118,{"January","February","March","April","May","June","July","August","September","October","November","December"},0),1)</f>
        <v>42430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  <c r="AF118">
        <f t="shared" si="2"/>
        <v>128.86153846153846</v>
      </c>
      <c r="AG118">
        <v>136.5</v>
      </c>
      <c r="AH118">
        <f>Table1[[#This Row],[Clothing and footwear]]</f>
        <v>130.5</v>
      </c>
      <c r="AI118">
        <v>124.9</v>
      </c>
      <c r="AJ118">
        <v>122.4</v>
      </c>
      <c r="AK118">
        <f>AVERAGE(Table1[[#This Row],[Household goods and services]],Table1[[#This Row],[Personal care and effects]])</f>
        <v>121.19999999999999</v>
      </c>
      <c r="AL118">
        <f>Table1[[#This Row],[Health]]</f>
        <v>122.9</v>
      </c>
      <c r="AM118">
        <v>110.9</v>
      </c>
      <c r="AN118">
        <f>AVERAGE(Table1[[#This Row],[Education]],Table1[[#This Row],[Recreation and amusement]])</f>
        <v>123.75</v>
      </c>
      <c r="AO118">
        <f>Table1[[#This Row],[Miscellaneous]]</f>
        <v>119.3</v>
      </c>
      <c r="AP118" t="str">
        <f t="shared" si="3"/>
        <v>Pre-COVID</v>
      </c>
    </row>
    <row r="119" spans="1:42" x14ac:dyDescent="0.25">
      <c r="A119" t="s">
        <v>30</v>
      </c>
      <c r="B119">
        <v>2016</v>
      </c>
      <c r="C119" t="s">
        <v>37</v>
      </c>
      <c r="D119" s="3">
        <f>DATE(B119,MATCH(C119,{"January","February","March","April","May","June","July","August","September","October","November","December"},0),1)</f>
        <v>42461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>
        <v>125.6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  <c r="AF119">
        <f t="shared" si="2"/>
        <v>130.89230769230772</v>
      </c>
      <c r="AG119">
        <v>135.5</v>
      </c>
      <c r="AH119">
        <f>Table1[[#This Row],[Clothing and footwear]]</f>
        <v>134.4</v>
      </c>
      <c r="AI119">
        <v>125.6</v>
      </c>
      <c r="AJ119">
        <v>127</v>
      </c>
      <c r="AK119">
        <f>AVERAGE(Table1[[#This Row],[Household goods and services]],Table1[[#This Row],[Personal care and effects]])</f>
        <v>123.2</v>
      </c>
      <c r="AL119">
        <f>Table1[[#This Row],[Health]]</f>
        <v>125.2</v>
      </c>
      <c r="AM119">
        <v>114.4</v>
      </c>
      <c r="AN119">
        <f>AVERAGE(Table1[[#This Row],[Education]],Table1[[#This Row],[Recreation and amusement]])</f>
        <v>125.55000000000001</v>
      </c>
      <c r="AO119">
        <f>Table1[[#This Row],[Miscellaneous]]</f>
        <v>121.7</v>
      </c>
      <c r="AP119" t="str">
        <f t="shared" si="3"/>
        <v>Pre-COVID</v>
      </c>
    </row>
    <row r="120" spans="1:42" x14ac:dyDescent="0.25">
      <c r="A120" t="s">
        <v>33</v>
      </c>
      <c r="B120">
        <v>2016</v>
      </c>
      <c r="C120" t="s">
        <v>37</v>
      </c>
      <c r="D120" s="3">
        <f>DATE(B120,MATCH(C120,{"January","February","March","April","May","June","July","August","September","October","November","December"},0),1)</f>
        <v>42461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  <c r="AF120">
        <f t="shared" si="2"/>
        <v>131.25384615384615</v>
      </c>
      <c r="AG120">
        <v>141.5</v>
      </c>
      <c r="AH120">
        <f>Table1[[#This Row],[Clothing and footwear]]</f>
        <v>125.8</v>
      </c>
      <c r="AI120">
        <v>125.6</v>
      </c>
      <c r="AJ120">
        <v>114.6</v>
      </c>
      <c r="AK120">
        <f>AVERAGE(Table1[[#This Row],[Household goods and services]],Table1[[#This Row],[Personal care and effects]])</f>
        <v>120.19999999999999</v>
      </c>
      <c r="AL120">
        <f>Table1[[#This Row],[Health]]</f>
        <v>120</v>
      </c>
      <c r="AM120">
        <v>110</v>
      </c>
      <c r="AN120">
        <f>AVERAGE(Table1[[#This Row],[Education]],Table1[[#This Row],[Recreation and amusement]])</f>
        <v>123.55</v>
      </c>
      <c r="AO120">
        <f>Table1[[#This Row],[Miscellaneous]]</f>
        <v>118.2</v>
      </c>
      <c r="AP120" t="str">
        <f t="shared" si="3"/>
        <v>Pre-COVID</v>
      </c>
    </row>
    <row r="121" spans="1:42" x14ac:dyDescent="0.25">
      <c r="A121" t="s">
        <v>34</v>
      </c>
      <c r="B121">
        <v>2016</v>
      </c>
      <c r="C121" t="s">
        <v>37</v>
      </c>
      <c r="D121" s="3">
        <f>DATE(B121,MATCH(C121,{"January","February","March","April","May","June","July","August","September","October","November","December"},0),1)</f>
        <v>42461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  <c r="AF121">
        <f t="shared" si="2"/>
        <v>130.86923076923077</v>
      </c>
      <c r="AG121">
        <v>137.1</v>
      </c>
      <c r="AH121">
        <f>Table1[[#This Row],[Clothing and footwear]]</f>
        <v>131</v>
      </c>
      <c r="AI121">
        <v>125.6</v>
      </c>
      <c r="AJ121">
        <v>122.3</v>
      </c>
      <c r="AK121">
        <f>AVERAGE(Table1[[#This Row],[Household goods and services]],Table1[[#This Row],[Personal care and effects]])</f>
        <v>121.8</v>
      </c>
      <c r="AL121">
        <f>Table1[[#This Row],[Health]]</f>
        <v>123.2</v>
      </c>
      <c r="AM121">
        <v>112.1</v>
      </c>
      <c r="AN121">
        <f>AVERAGE(Table1[[#This Row],[Education]],Table1[[#This Row],[Recreation and amusement]])</f>
        <v>124.4</v>
      </c>
      <c r="AO121">
        <f>Table1[[#This Row],[Miscellaneous]]</f>
        <v>120</v>
      </c>
      <c r="AP121" t="str">
        <f t="shared" si="3"/>
        <v>Pre-COVID</v>
      </c>
    </row>
    <row r="122" spans="1:42" x14ac:dyDescent="0.25">
      <c r="A122" t="s">
        <v>30</v>
      </c>
      <c r="B122">
        <v>2016</v>
      </c>
      <c r="C122" t="s">
        <v>38</v>
      </c>
      <c r="D122" s="3">
        <f>DATE(B122,MATCH(C122,{"January","February","March","April","May","June","July","August","September","October","November","December"},0),1)</f>
        <v>42491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>
        <v>126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  <c r="AF122">
        <f t="shared" si="2"/>
        <v>132.59230769230768</v>
      </c>
      <c r="AG122">
        <v>136</v>
      </c>
      <c r="AH122">
        <f>Table1[[#This Row],[Clothing and footwear]]</f>
        <v>134.80000000000001</v>
      </c>
      <c r="AI122">
        <v>126</v>
      </c>
      <c r="AJ122">
        <v>127.4</v>
      </c>
      <c r="AK122">
        <f>AVERAGE(Table1[[#This Row],[Household goods and services]],Table1[[#This Row],[Personal care and effects]])</f>
        <v>124.1</v>
      </c>
      <c r="AL122">
        <f>Table1[[#This Row],[Health]]</f>
        <v>125.8</v>
      </c>
      <c r="AM122">
        <v>115.1</v>
      </c>
      <c r="AN122">
        <f>AVERAGE(Table1[[#This Row],[Education]],Table1[[#This Row],[Recreation and amusement]])</f>
        <v>126.35</v>
      </c>
      <c r="AO122">
        <f>Table1[[#This Row],[Miscellaneous]]</f>
        <v>122.5</v>
      </c>
      <c r="AP122" t="str">
        <f t="shared" si="3"/>
        <v>Pre-COVID</v>
      </c>
    </row>
    <row r="123" spans="1:42" x14ac:dyDescent="0.25">
      <c r="A123" t="s">
        <v>33</v>
      </c>
      <c r="B123">
        <v>2016</v>
      </c>
      <c r="C123" t="s">
        <v>38</v>
      </c>
      <c r="D123" s="3">
        <f>DATE(B123,MATCH(C123,{"January","February","March","April","May","June","July","August","September","October","November","December"},0),1)</f>
        <v>42491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  <c r="AF123">
        <f t="shared" si="2"/>
        <v>134.36923076923074</v>
      </c>
      <c r="AG123">
        <v>142.19999999999999</v>
      </c>
      <c r="AH123">
        <f>Table1[[#This Row],[Clothing and footwear]]</f>
        <v>126.2</v>
      </c>
      <c r="AI123">
        <v>126</v>
      </c>
      <c r="AJ123">
        <v>115</v>
      </c>
      <c r="AK123">
        <f>AVERAGE(Table1[[#This Row],[Household goods and services]],Table1[[#This Row],[Personal care and effects]])</f>
        <v>120.85</v>
      </c>
      <c r="AL123">
        <f>Table1[[#This Row],[Health]]</f>
        <v>120.3</v>
      </c>
      <c r="AM123">
        <v>110.7</v>
      </c>
      <c r="AN123">
        <f>AVERAGE(Table1[[#This Row],[Education]],Table1[[#This Row],[Recreation and amusement]])</f>
        <v>123.9</v>
      </c>
      <c r="AO123">
        <f>Table1[[#This Row],[Miscellaneous]]</f>
        <v>118.7</v>
      </c>
      <c r="AP123" t="str">
        <f t="shared" si="3"/>
        <v>Pre-COVID</v>
      </c>
    </row>
    <row r="124" spans="1:42" x14ac:dyDescent="0.25">
      <c r="A124" t="s">
        <v>34</v>
      </c>
      <c r="B124">
        <v>2016</v>
      </c>
      <c r="C124" t="s">
        <v>38</v>
      </c>
      <c r="D124" s="3">
        <f>DATE(B124,MATCH(C124,{"January","February","March","April","May","June","July","August","September","October","November","December"},0),1)</f>
        <v>42491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  <c r="AF124">
        <f t="shared" si="2"/>
        <v>133.1076923076923</v>
      </c>
      <c r="AG124">
        <v>137.69999999999999</v>
      </c>
      <c r="AH124">
        <f>Table1[[#This Row],[Clothing and footwear]]</f>
        <v>131.4</v>
      </c>
      <c r="AI124">
        <v>126</v>
      </c>
      <c r="AJ124">
        <v>122.7</v>
      </c>
      <c r="AK124">
        <f>AVERAGE(Table1[[#This Row],[Household goods and services]],Table1[[#This Row],[Personal care and effects]])</f>
        <v>122.6</v>
      </c>
      <c r="AL124">
        <f>Table1[[#This Row],[Health]]</f>
        <v>123.7</v>
      </c>
      <c r="AM124">
        <v>112.8</v>
      </c>
      <c r="AN124">
        <f>AVERAGE(Table1[[#This Row],[Education]],Table1[[#This Row],[Recreation and amusement]])</f>
        <v>125</v>
      </c>
      <c r="AO124">
        <f>Table1[[#This Row],[Miscellaneous]]</f>
        <v>120.7</v>
      </c>
      <c r="AP124" t="str">
        <f t="shared" si="3"/>
        <v>Pre-COVID</v>
      </c>
    </row>
    <row r="125" spans="1:42" x14ac:dyDescent="0.25">
      <c r="A125" t="s">
        <v>30</v>
      </c>
      <c r="B125">
        <v>2016</v>
      </c>
      <c r="C125" t="s">
        <v>39</v>
      </c>
      <c r="D125" s="3">
        <f>DATE(B125,MATCH(C125,{"January","February","March","April","May","June","July","August","September","October","November","December"},0),1)</f>
        <v>42522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>
        <v>125.5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  <c r="AF125">
        <f t="shared" si="2"/>
        <v>134.50769230769231</v>
      </c>
      <c r="AG125">
        <v>137.19999999999999</v>
      </c>
      <c r="AH125">
        <f>Table1[[#This Row],[Clothing and footwear]]</f>
        <v>135.6</v>
      </c>
      <c r="AI125">
        <v>125.5</v>
      </c>
      <c r="AJ125">
        <v>128</v>
      </c>
      <c r="AK125">
        <f>AVERAGE(Table1[[#This Row],[Household goods and services]],Table1[[#This Row],[Personal care and effects]])</f>
        <v>124.60000000000001</v>
      </c>
      <c r="AL125">
        <f>Table1[[#This Row],[Health]]</f>
        <v>126.2</v>
      </c>
      <c r="AM125">
        <v>116.3</v>
      </c>
      <c r="AN125">
        <f>AVERAGE(Table1[[#This Row],[Education]],Table1[[#This Row],[Recreation and amusement]])</f>
        <v>127.14999999999999</v>
      </c>
      <c r="AO125">
        <f>Table1[[#This Row],[Miscellaneous]]</f>
        <v>123.3</v>
      </c>
      <c r="AP125" t="str">
        <f t="shared" si="3"/>
        <v>Pre-COVID</v>
      </c>
    </row>
    <row r="126" spans="1:42" x14ac:dyDescent="0.25">
      <c r="A126" t="s">
        <v>33</v>
      </c>
      <c r="B126">
        <v>2016</v>
      </c>
      <c r="C126" t="s">
        <v>39</v>
      </c>
      <c r="D126" s="3">
        <f>DATE(B126,MATCH(C126,{"January","February","March","April","May","June","July","August","September","October","November","December"},0),1)</f>
        <v>42522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  <c r="AF126">
        <f t="shared" si="2"/>
        <v>137.46153846153848</v>
      </c>
      <c r="AG126">
        <v>142.69999999999999</v>
      </c>
      <c r="AH126">
        <f>Table1[[#This Row],[Clothing and footwear]]</f>
        <v>126.6</v>
      </c>
      <c r="AI126">
        <v>125.5</v>
      </c>
      <c r="AJ126">
        <v>115.5</v>
      </c>
      <c r="AK126">
        <f>AVERAGE(Table1[[#This Row],[Household goods and services]],Table1[[#This Row],[Personal care and effects]])</f>
        <v>121</v>
      </c>
      <c r="AL126">
        <f>Table1[[#This Row],[Health]]</f>
        <v>120.6</v>
      </c>
      <c r="AM126">
        <v>112.3</v>
      </c>
      <c r="AN126">
        <f>AVERAGE(Table1[[#This Row],[Education]],Table1[[#This Row],[Recreation and amusement]])</f>
        <v>124.60000000000001</v>
      </c>
      <c r="AO126">
        <f>Table1[[#This Row],[Miscellaneous]]</f>
        <v>119.6</v>
      </c>
      <c r="AP126" t="str">
        <f t="shared" si="3"/>
        <v>Pre-COVID</v>
      </c>
    </row>
    <row r="127" spans="1:42" x14ac:dyDescent="0.25">
      <c r="A127" t="s">
        <v>34</v>
      </c>
      <c r="B127">
        <v>2016</v>
      </c>
      <c r="C127" t="s">
        <v>39</v>
      </c>
      <c r="D127" s="3">
        <f>DATE(B127,MATCH(C127,{"January","February","March","April","May","June","July","August","September","October","November","December"},0),1)</f>
        <v>42522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  <c r="AF127">
        <f t="shared" si="2"/>
        <v>135.43076923076922</v>
      </c>
      <c r="AG127">
        <v>138.69999999999999</v>
      </c>
      <c r="AH127">
        <f>Table1[[#This Row],[Clothing and footwear]]</f>
        <v>132</v>
      </c>
      <c r="AI127">
        <v>125.5</v>
      </c>
      <c r="AJ127">
        <v>123.3</v>
      </c>
      <c r="AK127">
        <f>AVERAGE(Table1[[#This Row],[Household goods and services]],Table1[[#This Row],[Personal care and effects]])</f>
        <v>122.9</v>
      </c>
      <c r="AL127">
        <f>Table1[[#This Row],[Health]]</f>
        <v>124.1</v>
      </c>
      <c r="AM127">
        <v>114.2</v>
      </c>
      <c r="AN127">
        <f>AVERAGE(Table1[[#This Row],[Education]],Table1[[#This Row],[Recreation and amusement]])</f>
        <v>125.69999999999999</v>
      </c>
      <c r="AO127">
        <f>Table1[[#This Row],[Miscellaneous]]</f>
        <v>121.5</v>
      </c>
      <c r="AP127" t="str">
        <f t="shared" si="3"/>
        <v>Pre-COVID</v>
      </c>
    </row>
    <row r="128" spans="1:42" x14ac:dyDescent="0.25">
      <c r="A128" t="s">
        <v>30</v>
      </c>
      <c r="B128">
        <v>2016</v>
      </c>
      <c r="C128" t="s">
        <v>40</v>
      </c>
      <c r="D128" s="3">
        <f>DATE(B128,MATCH(C128,{"January","February","March","April","May","June","July","August","September","October","November","December"},0),1)</f>
        <v>42552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>
        <v>126.4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  <c r="AF128">
        <f t="shared" si="2"/>
        <v>136.17692307692306</v>
      </c>
      <c r="AG128">
        <v>138</v>
      </c>
      <c r="AH128">
        <f>Table1[[#This Row],[Clothing and footwear]]</f>
        <v>136.5</v>
      </c>
      <c r="AI128">
        <v>126.4</v>
      </c>
      <c r="AJ128">
        <v>128.19999999999999</v>
      </c>
      <c r="AK128">
        <f>AVERAGE(Table1[[#This Row],[Household goods and services]],Table1[[#This Row],[Personal care and effects]])</f>
        <v>125.45</v>
      </c>
      <c r="AL128">
        <f>Table1[[#This Row],[Health]]</f>
        <v>126.7</v>
      </c>
      <c r="AM128">
        <v>116.4</v>
      </c>
      <c r="AN128">
        <f>AVERAGE(Table1[[#This Row],[Education]],Table1[[#This Row],[Recreation and amusement]])</f>
        <v>128</v>
      </c>
      <c r="AO128">
        <f>Table1[[#This Row],[Miscellaneous]]</f>
        <v>123.8</v>
      </c>
      <c r="AP128" t="str">
        <f t="shared" si="3"/>
        <v>Pre-COVID</v>
      </c>
    </row>
    <row r="129" spans="1:42" x14ac:dyDescent="0.25">
      <c r="A129" t="s">
        <v>33</v>
      </c>
      <c r="B129">
        <v>2016</v>
      </c>
      <c r="C129" t="s">
        <v>40</v>
      </c>
      <c r="D129" s="3">
        <f>DATE(B129,MATCH(C129,{"January","February","March","April","May","June","July","August","September","October","November","December"},0),1)</f>
        <v>42552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  <c r="AF129">
        <f t="shared" si="2"/>
        <v>139.34615384615387</v>
      </c>
      <c r="AG129">
        <v>142.9</v>
      </c>
      <c r="AH129">
        <f>Table1[[#This Row],[Clothing and footwear]]</f>
        <v>126.9</v>
      </c>
      <c r="AI129">
        <v>126.4</v>
      </c>
      <c r="AJ129">
        <v>115.5</v>
      </c>
      <c r="AK129">
        <f>AVERAGE(Table1[[#This Row],[Household goods and services]],Table1[[#This Row],[Personal care and effects]])</f>
        <v>121.75</v>
      </c>
      <c r="AL129">
        <f>Table1[[#This Row],[Health]]</f>
        <v>120.9</v>
      </c>
      <c r="AM129">
        <v>111.7</v>
      </c>
      <c r="AN129">
        <f>AVERAGE(Table1[[#This Row],[Education]],Table1[[#This Row],[Recreation and amusement]])</f>
        <v>125.55000000000001</v>
      </c>
      <c r="AO129">
        <f>Table1[[#This Row],[Miscellaneous]]</f>
        <v>119.9</v>
      </c>
      <c r="AP129" t="str">
        <f t="shared" si="3"/>
        <v>Pre-COVID</v>
      </c>
    </row>
    <row r="130" spans="1:42" x14ac:dyDescent="0.25">
      <c r="A130" t="s">
        <v>34</v>
      </c>
      <c r="B130">
        <v>2016</v>
      </c>
      <c r="C130" t="s">
        <v>40</v>
      </c>
      <c r="D130" s="3">
        <f>DATE(B130,MATCH(C130,{"January","February","March","April","May","June","July","August","September","October","November","December"},0),1)</f>
        <v>42552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  <c r="AF130">
        <f t="shared" ref="AF130:AF193" si="4">AVERAGE(E130:Q130)</f>
        <v>137.19230769230768</v>
      </c>
      <c r="AG130">
        <v>139.30000000000001</v>
      </c>
      <c r="AH130">
        <f>Table1[[#This Row],[Clothing and footwear]]</f>
        <v>132.69999999999999</v>
      </c>
      <c r="AI130">
        <v>126.4</v>
      </c>
      <c r="AJ130">
        <v>123.4</v>
      </c>
      <c r="AK130">
        <f>AVERAGE(Table1[[#This Row],[Household goods and services]],Table1[[#This Row],[Personal care and effects]])</f>
        <v>123.7</v>
      </c>
      <c r="AL130">
        <f>Table1[[#This Row],[Health]]</f>
        <v>124.5</v>
      </c>
      <c r="AM130">
        <v>113.9</v>
      </c>
      <c r="AN130">
        <f>AVERAGE(Table1[[#This Row],[Education]],Table1[[#This Row],[Recreation and amusement]])</f>
        <v>126.60000000000001</v>
      </c>
      <c r="AO130">
        <f>Table1[[#This Row],[Miscellaneous]]</f>
        <v>121.9</v>
      </c>
      <c r="AP130" t="str">
        <f t="shared" ref="AP130:AP193" si="5">IF(D130&lt;DATE(2020,3,1),"Pre-COVID",IF(D130=DATE(2020,3,1),"COVID Onset",IF(D130&lt;=DATE(2020,5,31),"Lockdown","Post-COVID")))</f>
        <v>Pre-COVID</v>
      </c>
    </row>
    <row r="131" spans="1:42" x14ac:dyDescent="0.25">
      <c r="A131" t="s">
        <v>30</v>
      </c>
      <c r="B131">
        <v>2016</v>
      </c>
      <c r="C131" t="s">
        <v>41</v>
      </c>
      <c r="D131" s="3">
        <f>DATE(B131,MATCH(C131,{"January","February","March","April","May","June","July","August","September","October","November","December"},0),1)</f>
        <v>42583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>
        <v>127.3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  <c r="AF131">
        <f t="shared" si="4"/>
        <v>136.73076923076923</v>
      </c>
      <c r="AG131">
        <v>138.9</v>
      </c>
      <c r="AH131">
        <f>Table1[[#This Row],[Clothing and footwear]]</f>
        <v>137.1</v>
      </c>
      <c r="AI131">
        <v>127.3</v>
      </c>
      <c r="AJ131">
        <v>129.1</v>
      </c>
      <c r="AK131">
        <f>AVERAGE(Table1[[#This Row],[Household goods and services]],Table1[[#This Row],[Personal care and effects]])</f>
        <v>126.3</v>
      </c>
      <c r="AL131">
        <f>Table1[[#This Row],[Health]]</f>
        <v>127</v>
      </c>
      <c r="AM131">
        <v>116</v>
      </c>
      <c r="AN131">
        <f>AVERAGE(Table1[[#This Row],[Education]],Table1[[#This Row],[Recreation and amusement]])</f>
        <v>128.69999999999999</v>
      </c>
      <c r="AO131">
        <f>Table1[[#This Row],[Miscellaneous]]</f>
        <v>124.2</v>
      </c>
      <c r="AP131" t="str">
        <f t="shared" si="5"/>
        <v>Pre-COVID</v>
      </c>
    </row>
    <row r="132" spans="1:42" x14ac:dyDescent="0.25">
      <c r="A132" t="s">
        <v>33</v>
      </c>
      <c r="B132">
        <v>2016</v>
      </c>
      <c r="C132" t="s">
        <v>41</v>
      </c>
      <c r="D132" s="3">
        <f>DATE(B132,MATCH(C132,{"January","February","March","April","May","June","July","August","September","October","November","December"},0),1)</f>
        <v>42583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  <c r="AF132">
        <f t="shared" si="4"/>
        <v>137.2307692307692</v>
      </c>
      <c r="AG132">
        <v>143.6</v>
      </c>
      <c r="AH132">
        <f>Table1[[#This Row],[Clothing and footwear]]</f>
        <v>127.3</v>
      </c>
      <c r="AI132">
        <v>127.3</v>
      </c>
      <c r="AJ132">
        <v>114.7</v>
      </c>
      <c r="AK132">
        <f>AVERAGE(Table1[[#This Row],[Household goods and services]],Table1[[#This Row],[Personal care and effects]])</f>
        <v>122.4</v>
      </c>
      <c r="AL132">
        <f>Table1[[#This Row],[Health]]</f>
        <v>121.2</v>
      </c>
      <c r="AM132">
        <v>110.4</v>
      </c>
      <c r="AN132">
        <f>AVERAGE(Table1[[#This Row],[Education]],Table1[[#This Row],[Recreation and amusement]])</f>
        <v>126.05</v>
      </c>
      <c r="AO132">
        <f>Table1[[#This Row],[Miscellaneous]]</f>
        <v>119.9</v>
      </c>
      <c r="AP132" t="str">
        <f t="shared" si="5"/>
        <v>Pre-COVID</v>
      </c>
    </row>
    <row r="133" spans="1:42" x14ac:dyDescent="0.25">
      <c r="A133" t="s">
        <v>34</v>
      </c>
      <c r="B133">
        <v>2016</v>
      </c>
      <c r="C133" t="s">
        <v>41</v>
      </c>
      <c r="D133" s="3">
        <f>DATE(B133,MATCH(C133,{"January","February","March","April","May","June","July","August","September","October","November","December"},0),1)</f>
        <v>42583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  <c r="AF133">
        <f t="shared" si="4"/>
        <v>136.76153846153846</v>
      </c>
      <c r="AG133">
        <v>140.19999999999999</v>
      </c>
      <c r="AH133">
        <f>Table1[[#This Row],[Clothing and footwear]]</f>
        <v>133.19999999999999</v>
      </c>
      <c r="AI133">
        <v>127.3</v>
      </c>
      <c r="AJ133">
        <v>123.6</v>
      </c>
      <c r="AK133">
        <f>AVERAGE(Table1[[#This Row],[Household goods and services]],Table1[[#This Row],[Personal care and effects]])</f>
        <v>124.45</v>
      </c>
      <c r="AL133">
        <f>Table1[[#This Row],[Health]]</f>
        <v>124.8</v>
      </c>
      <c r="AM133">
        <v>113.1</v>
      </c>
      <c r="AN133">
        <f>AVERAGE(Table1[[#This Row],[Education]],Table1[[#This Row],[Recreation and amusement]])</f>
        <v>127.19999999999999</v>
      </c>
      <c r="AO133">
        <f>Table1[[#This Row],[Miscellaneous]]</f>
        <v>122.1</v>
      </c>
      <c r="AP133" t="str">
        <f t="shared" si="5"/>
        <v>Pre-COVID</v>
      </c>
    </row>
    <row r="134" spans="1:42" x14ac:dyDescent="0.25">
      <c r="A134" t="s">
        <v>30</v>
      </c>
      <c r="B134">
        <v>2016</v>
      </c>
      <c r="C134" t="s">
        <v>42</v>
      </c>
      <c r="D134" s="3">
        <f>DATE(B134,MATCH(C134,{"January","February","March","April","May","June","July","August","September","October","November","December"},0),1)</f>
        <v>42614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>
        <v>127.9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  <c r="AF134">
        <f t="shared" si="4"/>
        <v>136.2076923076923</v>
      </c>
      <c r="AG134">
        <v>139.9</v>
      </c>
      <c r="AH134">
        <f>Table1[[#This Row],[Clothing and footwear]]</f>
        <v>137.80000000000001</v>
      </c>
      <c r="AI134">
        <v>127.9</v>
      </c>
      <c r="AJ134">
        <v>129.69999999999999</v>
      </c>
      <c r="AK134">
        <f>AVERAGE(Table1[[#This Row],[Household goods and services]],Table1[[#This Row],[Personal care and effects]])</f>
        <v>126.94999999999999</v>
      </c>
      <c r="AL134">
        <f>Table1[[#This Row],[Health]]</f>
        <v>127.8</v>
      </c>
      <c r="AM134">
        <v>117</v>
      </c>
      <c r="AN134">
        <f>AVERAGE(Table1[[#This Row],[Education]],Table1[[#This Row],[Recreation and amusement]])</f>
        <v>128.94999999999999</v>
      </c>
      <c r="AO134">
        <f>Table1[[#This Row],[Miscellaneous]]</f>
        <v>124.9</v>
      </c>
      <c r="AP134" t="str">
        <f t="shared" si="5"/>
        <v>Pre-COVID</v>
      </c>
    </row>
    <row r="135" spans="1:42" x14ac:dyDescent="0.25">
      <c r="A135" t="s">
        <v>33</v>
      </c>
      <c r="B135">
        <v>2016</v>
      </c>
      <c r="C135" t="s">
        <v>42</v>
      </c>
      <c r="D135" s="3">
        <f>DATE(B135,MATCH(C135,{"January","February","March","April","May","June","July","August","September","October","November","December"},0),1)</f>
        <v>42614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  <c r="AF135">
        <f t="shared" si="4"/>
        <v>135.10769230769228</v>
      </c>
      <c r="AG135">
        <v>143.9</v>
      </c>
      <c r="AH135">
        <f>Table1[[#This Row],[Clothing and footwear]]</f>
        <v>127.7</v>
      </c>
      <c r="AI135">
        <v>127.9</v>
      </c>
      <c r="AJ135">
        <v>114.8</v>
      </c>
      <c r="AK135">
        <f>AVERAGE(Table1[[#This Row],[Household goods and services]],Table1[[#This Row],[Personal care and effects]])</f>
        <v>122.75</v>
      </c>
      <c r="AL135">
        <f>Table1[[#This Row],[Health]]</f>
        <v>121.4</v>
      </c>
      <c r="AM135">
        <v>111.8</v>
      </c>
      <c r="AN135">
        <f>AVERAGE(Table1[[#This Row],[Education]],Table1[[#This Row],[Recreation and amusement]])</f>
        <v>126.19999999999999</v>
      </c>
      <c r="AO135">
        <f>Table1[[#This Row],[Miscellaneous]]</f>
        <v>120.5</v>
      </c>
      <c r="AP135" t="str">
        <f t="shared" si="5"/>
        <v>Pre-COVID</v>
      </c>
    </row>
    <row r="136" spans="1:42" x14ac:dyDescent="0.25">
      <c r="A136" t="s">
        <v>34</v>
      </c>
      <c r="B136">
        <v>2016</v>
      </c>
      <c r="C136" t="s">
        <v>42</v>
      </c>
      <c r="D136" s="3">
        <f>DATE(B136,MATCH(C136,{"January","February","March","April","May","June","July","August","September","October","November","December"},0),1)</f>
        <v>42614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  <c r="AF136">
        <f t="shared" si="4"/>
        <v>135.66923076923075</v>
      </c>
      <c r="AG136">
        <v>141</v>
      </c>
      <c r="AH136">
        <f>Table1[[#This Row],[Clothing and footwear]]</f>
        <v>133.80000000000001</v>
      </c>
      <c r="AI136">
        <v>127.9</v>
      </c>
      <c r="AJ136">
        <v>124.1</v>
      </c>
      <c r="AK136">
        <f>AVERAGE(Table1[[#This Row],[Household goods and services]],Table1[[#This Row],[Personal care and effects]])</f>
        <v>125</v>
      </c>
      <c r="AL136">
        <f>Table1[[#This Row],[Health]]</f>
        <v>125.4</v>
      </c>
      <c r="AM136">
        <v>114.3</v>
      </c>
      <c r="AN136">
        <f>AVERAGE(Table1[[#This Row],[Education]],Table1[[#This Row],[Recreation and amusement]])</f>
        <v>127.35000000000001</v>
      </c>
      <c r="AO136">
        <f>Table1[[#This Row],[Miscellaneous]]</f>
        <v>122.8</v>
      </c>
      <c r="AP136" t="str">
        <f t="shared" si="5"/>
        <v>Pre-COVID</v>
      </c>
    </row>
    <row r="137" spans="1:42" x14ac:dyDescent="0.25">
      <c r="A137" t="s">
        <v>30</v>
      </c>
      <c r="B137">
        <v>2016</v>
      </c>
      <c r="C137" t="s">
        <v>43</v>
      </c>
      <c r="D137" s="3">
        <f>DATE(B137,MATCH(C137,{"January","February","March","April","May","June","July","August","September","October","November","December"},0),1)</f>
        <v>42644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>
        <v>128.69999999999999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  <c r="AF137">
        <f t="shared" si="4"/>
        <v>136.2923076923077</v>
      </c>
      <c r="AG137">
        <v>140.9</v>
      </c>
      <c r="AH137">
        <f>Table1[[#This Row],[Clothing and footwear]]</f>
        <v>138.80000000000001</v>
      </c>
      <c r="AI137">
        <v>128.69999999999999</v>
      </c>
      <c r="AJ137">
        <v>129.80000000000001</v>
      </c>
      <c r="AK137">
        <f>AVERAGE(Table1[[#This Row],[Household goods and services]],Table1[[#This Row],[Personal care and effects]])</f>
        <v>127.4</v>
      </c>
      <c r="AL137">
        <f>Table1[[#This Row],[Health]]</f>
        <v>128.69999999999999</v>
      </c>
      <c r="AM137">
        <v>117.8</v>
      </c>
      <c r="AN137">
        <f>AVERAGE(Table1[[#This Row],[Education]],Table1[[#This Row],[Recreation and amusement]])</f>
        <v>129.75</v>
      </c>
      <c r="AO137">
        <f>Table1[[#This Row],[Miscellaneous]]</f>
        <v>125.7</v>
      </c>
      <c r="AP137" t="str">
        <f t="shared" si="5"/>
        <v>Pre-COVID</v>
      </c>
    </row>
    <row r="138" spans="1:42" x14ac:dyDescent="0.25">
      <c r="A138" t="s">
        <v>33</v>
      </c>
      <c r="B138">
        <v>2016</v>
      </c>
      <c r="C138" t="s">
        <v>43</v>
      </c>
      <c r="D138" s="3">
        <f>DATE(B138,MATCH(C138,{"January","February","March","April","May","June","July","August","September","October","November","December"},0),1)</f>
        <v>42644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  <c r="AF138">
        <f t="shared" si="4"/>
        <v>135.6076923076923</v>
      </c>
      <c r="AG138">
        <v>144.30000000000001</v>
      </c>
      <c r="AH138">
        <f>Table1[[#This Row],[Clothing and footwear]]</f>
        <v>128</v>
      </c>
      <c r="AI138">
        <v>128.69999999999999</v>
      </c>
      <c r="AJ138">
        <v>115.2</v>
      </c>
      <c r="AK138">
        <f>AVERAGE(Table1[[#This Row],[Household goods and services]],Table1[[#This Row],[Personal care and effects]])</f>
        <v>122.65</v>
      </c>
      <c r="AL138">
        <f>Table1[[#This Row],[Health]]</f>
        <v>121.8</v>
      </c>
      <c r="AM138">
        <v>112.8</v>
      </c>
      <c r="AN138">
        <f>AVERAGE(Table1[[#This Row],[Education]],Table1[[#This Row],[Recreation and amusement]])</f>
        <v>126.55000000000001</v>
      </c>
      <c r="AO138">
        <f>Table1[[#This Row],[Miscellaneous]]</f>
        <v>120.9</v>
      </c>
      <c r="AP138" t="str">
        <f t="shared" si="5"/>
        <v>Pre-COVID</v>
      </c>
    </row>
    <row r="139" spans="1:42" x14ac:dyDescent="0.25">
      <c r="A139" t="s">
        <v>34</v>
      </c>
      <c r="B139">
        <v>2016</v>
      </c>
      <c r="C139" t="s">
        <v>43</v>
      </c>
      <c r="D139" s="3">
        <f>DATE(B139,MATCH(C139,{"January","February","March","April","May","June","July","August","September","October","November","December"},0),1)</f>
        <v>42644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  <c r="AF139">
        <f t="shared" si="4"/>
        <v>135.90769230769226</v>
      </c>
      <c r="AG139">
        <v>141.80000000000001</v>
      </c>
      <c r="AH139">
        <f>Table1[[#This Row],[Clothing and footwear]]</f>
        <v>134.5</v>
      </c>
      <c r="AI139">
        <v>128.69999999999999</v>
      </c>
      <c r="AJ139">
        <v>124.3</v>
      </c>
      <c r="AK139">
        <f>AVERAGE(Table1[[#This Row],[Household goods and services]],Table1[[#This Row],[Personal care and effects]])</f>
        <v>125.25</v>
      </c>
      <c r="AL139">
        <f>Table1[[#This Row],[Health]]</f>
        <v>126.1</v>
      </c>
      <c r="AM139">
        <v>115.2</v>
      </c>
      <c r="AN139">
        <f>AVERAGE(Table1[[#This Row],[Education]],Table1[[#This Row],[Recreation and amusement]])</f>
        <v>127.95</v>
      </c>
      <c r="AO139">
        <f>Table1[[#This Row],[Miscellaneous]]</f>
        <v>123.4</v>
      </c>
      <c r="AP139" t="str">
        <f t="shared" si="5"/>
        <v>Pre-COVID</v>
      </c>
    </row>
    <row r="140" spans="1:42" x14ac:dyDescent="0.25">
      <c r="A140" t="s">
        <v>30</v>
      </c>
      <c r="B140">
        <v>2016</v>
      </c>
      <c r="C140" t="s">
        <v>45</v>
      </c>
      <c r="D140" s="3">
        <f>DATE(B140,MATCH(C140,{"January","February","March","April","May","June","July","August","September","October","November","December"},0),1)</f>
        <v>42675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>
        <v>129.1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  <c r="AF140">
        <f t="shared" si="4"/>
        <v>135.73846153846154</v>
      </c>
      <c r="AG140">
        <v>141.19999999999999</v>
      </c>
      <c r="AH140">
        <f>Table1[[#This Row],[Clothing and footwear]]</f>
        <v>139.19999999999999</v>
      </c>
      <c r="AI140">
        <v>129.1</v>
      </c>
      <c r="AJ140">
        <v>130.30000000000001</v>
      </c>
      <c r="AK140">
        <f>AVERAGE(Table1[[#This Row],[Household goods and services]],Table1[[#This Row],[Personal care and effects]])</f>
        <v>127.8</v>
      </c>
      <c r="AL140">
        <f>Table1[[#This Row],[Health]]</f>
        <v>129.1</v>
      </c>
      <c r="AM140">
        <v>118.2</v>
      </c>
      <c r="AN140">
        <f>AVERAGE(Table1[[#This Row],[Education]],Table1[[#This Row],[Recreation and amusement]])</f>
        <v>130.30000000000001</v>
      </c>
      <c r="AO140">
        <f>Table1[[#This Row],[Miscellaneous]]</f>
        <v>126.1</v>
      </c>
      <c r="AP140" t="str">
        <f t="shared" si="5"/>
        <v>Pre-COVID</v>
      </c>
    </row>
    <row r="141" spans="1:42" x14ac:dyDescent="0.25">
      <c r="A141" t="s">
        <v>33</v>
      </c>
      <c r="B141">
        <v>2016</v>
      </c>
      <c r="C141" t="s">
        <v>45</v>
      </c>
      <c r="D141" s="3">
        <f>DATE(B141,MATCH(C141,{"January","February","March","April","May","June","July","August","September","October","November","December"},0),1)</f>
        <v>42675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  <c r="AF141">
        <f t="shared" si="4"/>
        <v>135.01538461538462</v>
      </c>
      <c r="AG141">
        <v>144.30000000000001</v>
      </c>
      <c r="AH141">
        <f>Table1[[#This Row],[Clothing and footwear]]</f>
        <v>128.5</v>
      </c>
      <c r="AI141">
        <v>129.1</v>
      </c>
      <c r="AJ141">
        <v>116.2</v>
      </c>
      <c r="AK141">
        <f>AVERAGE(Table1[[#This Row],[Household goods and services]],Table1[[#This Row],[Personal care and effects]])</f>
        <v>123</v>
      </c>
      <c r="AL141">
        <f>Table1[[#This Row],[Health]]</f>
        <v>122.1</v>
      </c>
      <c r="AM141">
        <v>113.4</v>
      </c>
      <c r="AN141">
        <f>AVERAGE(Table1[[#This Row],[Education]],Table1[[#This Row],[Recreation and amusement]])</f>
        <v>126.9</v>
      </c>
      <c r="AO141">
        <f>Table1[[#This Row],[Miscellaneous]]</f>
        <v>121.3</v>
      </c>
      <c r="AP141" t="str">
        <f t="shared" si="5"/>
        <v>Pre-COVID</v>
      </c>
    </row>
    <row r="142" spans="1:42" x14ac:dyDescent="0.25">
      <c r="A142" t="s">
        <v>34</v>
      </c>
      <c r="B142">
        <v>2016</v>
      </c>
      <c r="C142" t="s">
        <v>45</v>
      </c>
      <c r="D142" s="3">
        <f>DATE(B142,MATCH(C142,{"January","February","March","April","May","June","July","August","September","October","November","December"},0),1)</f>
        <v>42675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  <c r="AF142">
        <f t="shared" si="4"/>
        <v>135.36923076923077</v>
      </c>
      <c r="AG142">
        <v>142</v>
      </c>
      <c r="AH142">
        <f>Table1[[#This Row],[Clothing and footwear]]</f>
        <v>135</v>
      </c>
      <c r="AI142">
        <v>129.1</v>
      </c>
      <c r="AJ142">
        <v>125</v>
      </c>
      <c r="AK142">
        <f>AVERAGE(Table1[[#This Row],[Household goods and services]],Table1[[#This Row],[Personal care and effects]])</f>
        <v>125.6</v>
      </c>
      <c r="AL142">
        <f>Table1[[#This Row],[Health]]</f>
        <v>126.4</v>
      </c>
      <c r="AM142">
        <v>115.7</v>
      </c>
      <c r="AN142">
        <f>AVERAGE(Table1[[#This Row],[Education]],Table1[[#This Row],[Recreation and amusement]])</f>
        <v>128.4</v>
      </c>
      <c r="AO142">
        <f>Table1[[#This Row],[Miscellaneous]]</f>
        <v>123.8</v>
      </c>
      <c r="AP142" t="str">
        <f t="shared" si="5"/>
        <v>Pre-COVID</v>
      </c>
    </row>
    <row r="143" spans="1:42" x14ac:dyDescent="0.25">
      <c r="A143" t="s">
        <v>30</v>
      </c>
      <c r="B143">
        <v>2016</v>
      </c>
      <c r="C143" t="s">
        <v>46</v>
      </c>
      <c r="D143" s="3">
        <f>DATE(B143,MATCH(C143,{"January","February","March","April","May","June","July","August","September","October","November","December"},0),1)</f>
        <v>42705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>
        <v>128.5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  <c r="AF143">
        <f t="shared" si="4"/>
        <v>134.54615384615383</v>
      </c>
      <c r="AG143">
        <v>142.4</v>
      </c>
      <c r="AH143">
        <f>Table1[[#This Row],[Clothing and footwear]]</f>
        <v>139.69999999999999</v>
      </c>
      <c r="AI143">
        <v>128.5</v>
      </c>
      <c r="AJ143">
        <v>132</v>
      </c>
      <c r="AK143">
        <f>AVERAGE(Table1[[#This Row],[Household goods and services]],Table1[[#This Row],[Personal care and effects]])</f>
        <v>127.4</v>
      </c>
      <c r="AL143">
        <f>Table1[[#This Row],[Health]]</f>
        <v>129.69999999999999</v>
      </c>
      <c r="AM143">
        <v>118.6</v>
      </c>
      <c r="AN143">
        <f>AVERAGE(Table1[[#This Row],[Education]],Table1[[#This Row],[Recreation and amusement]])</f>
        <v>130.75</v>
      </c>
      <c r="AO143">
        <f>Table1[[#This Row],[Miscellaneous]]</f>
        <v>126.3</v>
      </c>
      <c r="AP143" t="str">
        <f t="shared" si="5"/>
        <v>Pre-COVID</v>
      </c>
    </row>
    <row r="144" spans="1:42" x14ac:dyDescent="0.25">
      <c r="A144" t="s">
        <v>33</v>
      </c>
      <c r="B144">
        <v>2016</v>
      </c>
      <c r="C144" t="s">
        <v>46</v>
      </c>
      <c r="D144" s="3">
        <f>DATE(B144,MATCH(C144,{"January","February","March","April","May","June","July","August","September","October","November","December"},0),1)</f>
        <v>42705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  <c r="AF144">
        <f t="shared" si="4"/>
        <v>133.06153846153845</v>
      </c>
      <c r="AG144">
        <v>145</v>
      </c>
      <c r="AH144">
        <f>Table1[[#This Row],[Clothing and footwear]]</f>
        <v>128.80000000000001</v>
      </c>
      <c r="AI144">
        <v>128.5</v>
      </c>
      <c r="AJ144">
        <v>117.8</v>
      </c>
      <c r="AK144">
        <f>AVERAGE(Table1[[#This Row],[Household goods and services]],Table1[[#This Row],[Personal care and effects]])</f>
        <v>122.45</v>
      </c>
      <c r="AL144">
        <f>Table1[[#This Row],[Health]]</f>
        <v>122.3</v>
      </c>
      <c r="AM144">
        <v>113.7</v>
      </c>
      <c r="AN144">
        <f>AVERAGE(Table1[[#This Row],[Education]],Table1[[#This Row],[Recreation and amusement]])</f>
        <v>127.05000000000001</v>
      </c>
      <c r="AO144">
        <f>Table1[[#This Row],[Miscellaneous]]</f>
        <v>121.4</v>
      </c>
      <c r="AP144" t="str">
        <f t="shared" si="5"/>
        <v>Pre-COVID</v>
      </c>
    </row>
    <row r="145" spans="1:42" x14ac:dyDescent="0.25">
      <c r="A145" t="s">
        <v>34</v>
      </c>
      <c r="B145">
        <v>2016</v>
      </c>
      <c r="C145" t="s">
        <v>46</v>
      </c>
      <c r="D145" s="3">
        <f>DATE(B145,MATCH(C145,{"January","February","March","April","May","June","July","August","September","October","November","December"},0),1)</f>
        <v>42705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  <c r="AF145">
        <f t="shared" si="4"/>
        <v>133.9</v>
      </c>
      <c r="AG145">
        <v>143.1</v>
      </c>
      <c r="AH145">
        <f>Table1[[#This Row],[Clothing and footwear]]</f>
        <v>135.4</v>
      </c>
      <c r="AI145">
        <v>128.5</v>
      </c>
      <c r="AJ145">
        <v>126.6</v>
      </c>
      <c r="AK145">
        <f>AVERAGE(Table1[[#This Row],[Household goods and services]],Table1[[#This Row],[Personal care and effects]])</f>
        <v>125.14999999999999</v>
      </c>
      <c r="AL145">
        <f>Table1[[#This Row],[Health]]</f>
        <v>126.9</v>
      </c>
      <c r="AM145">
        <v>116</v>
      </c>
      <c r="AN145">
        <f>AVERAGE(Table1[[#This Row],[Education]],Table1[[#This Row],[Recreation and amusement]])</f>
        <v>128.65</v>
      </c>
      <c r="AO145">
        <f>Table1[[#This Row],[Miscellaneous]]</f>
        <v>123.9</v>
      </c>
      <c r="AP145" t="str">
        <f t="shared" si="5"/>
        <v>Pre-COVID</v>
      </c>
    </row>
    <row r="146" spans="1:42" x14ac:dyDescent="0.25">
      <c r="A146" t="s">
        <v>30</v>
      </c>
      <c r="B146">
        <v>2017</v>
      </c>
      <c r="C146" t="s">
        <v>31</v>
      </c>
      <c r="D146" s="3">
        <f>DATE(B146,MATCH(C146,{"January","February","March","April","May","June","July","August","September","October","November","December"},0),1)</f>
        <v>42736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>
        <v>129.6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  <c r="AF146">
        <f t="shared" si="4"/>
        <v>133.63846153846154</v>
      </c>
      <c r="AG146">
        <v>143.1</v>
      </c>
      <c r="AH146">
        <f>Table1[[#This Row],[Clothing and footwear]]</f>
        <v>140</v>
      </c>
      <c r="AI146">
        <v>129.6</v>
      </c>
      <c r="AJ146">
        <v>132.1</v>
      </c>
      <c r="AK146">
        <f>AVERAGE(Table1[[#This Row],[Household goods and services]],Table1[[#This Row],[Personal care and effects]])</f>
        <v>127.75</v>
      </c>
      <c r="AL146">
        <f>Table1[[#This Row],[Health]]</f>
        <v>129.9</v>
      </c>
      <c r="AM146">
        <v>119.1</v>
      </c>
      <c r="AN146">
        <f>AVERAGE(Table1[[#This Row],[Education]],Table1[[#This Row],[Recreation and amusement]])</f>
        <v>130.80000000000001</v>
      </c>
      <c r="AO146">
        <f>Table1[[#This Row],[Miscellaneous]]</f>
        <v>126.6</v>
      </c>
      <c r="AP146" t="str">
        <f t="shared" si="5"/>
        <v>Pre-COVID</v>
      </c>
    </row>
    <row r="147" spans="1:42" x14ac:dyDescent="0.25">
      <c r="A147" t="s">
        <v>33</v>
      </c>
      <c r="B147">
        <v>2017</v>
      </c>
      <c r="C147" t="s">
        <v>31</v>
      </c>
      <c r="D147" s="3">
        <f>DATE(B147,MATCH(C147,{"January","February","March","April","May","June","July","August","September","October","November","December"},0),1)</f>
        <v>42736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  <c r="AF147">
        <f t="shared" si="4"/>
        <v>131.78461538461539</v>
      </c>
      <c r="AG147">
        <v>145.6</v>
      </c>
      <c r="AH147">
        <f>Table1[[#This Row],[Clothing and footwear]]</f>
        <v>129</v>
      </c>
      <c r="AI147">
        <v>129.6</v>
      </c>
      <c r="AJ147">
        <v>118</v>
      </c>
      <c r="AK147">
        <f>AVERAGE(Table1[[#This Row],[Household goods and services]],Table1[[#This Row],[Personal care and effects]])</f>
        <v>123</v>
      </c>
      <c r="AL147">
        <f>Table1[[#This Row],[Health]]</f>
        <v>122.6</v>
      </c>
      <c r="AM147">
        <v>115.2</v>
      </c>
      <c r="AN147">
        <f>AVERAGE(Table1[[#This Row],[Education]],Table1[[#This Row],[Recreation and amusement]])</f>
        <v>127.2</v>
      </c>
      <c r="AO147">
        <f>Table1[[#This Row],[Miscellaneous]]</f>
        <v>122.1</v>
      </c>
      <c r="AP147" t="str">
        <f t="shared" si="5"/>
        <v>Pre-COVID</v>
      </c>
    </row>
    <row r="148" spans="1:42" x14ac:dyDescent="0.25">
      <c r="A148" t="s">
        <v>34</v>
      </c>
      <c r="B148">
        <v>2017</v>
      </c>
      <c r="C148" t="s">
        <v>31</v>
      </c>
      <c r="D148" s="3">
        <f>DATE(B148,MATCH(C148,{"January","February","March","April","May","June","July","August","September","October","November","December"},0),1)</f>
        <v>42736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  <c r="AF148">
        <f t="shared" si="4"/>
        <v>132.86923076923074</v>
      </c>
      <c r="AG148">
        <v>143.80000000000001</v>
      </c>
      <c r="AH148">
        <f>Table1[[#This Row],[Clothing and footwear]]</f>
        <v>135.6</v>
      </c>
      <c r="AI148">
        <v>129.6</v>
      </c>
      <c r="AJ148">
        <v>126.8</v>
      </c>
      <c r="AK148">
        <f>AVERAGE(Table1[[#This Row],[Household goods and services]],Table1[[#This Row],[Personal care and effects]])</f>
        <v>125.55000000000001</v>
      </c>
      <c r="AL148">
        <f>Table1[[#This Row],[Health]]</f>
        <v>127.1</v>
      </c>
      <c r="AM148">
        <v>117</v>
      </c>
      <c r="AN148">
        <f>AVERAGE(Table1[[#This Row],[Education]],Table1[[#This Row],[Recreation and amusement]])</f>
        <v>128.75</v>
      </c>
      <c r="AO148">
        <f>Table1[[#This Row],[Miscellaneous]]</f>
        <v>124.4</v>
      </c>
      <c r="AP148" t="str">
        <f t="shared" si="5"/>
        <v>Pre-COVID</v>
      </c>
    </row>
    <row r="149" spans="1:42" x14ac:dyDescent="0.25">
      <c r="A149" t="s">
        <v>30</v>
      </c>
      <c r="B149">
        <v>2017</v>
      </c>
      <c r="C149" t="s">
        <v>35</v>
      </c>
      <c r="D149" s="3">
        <f>DATE(B149,MATCH(C149,{"January","February","March","April","May","June","July","August","September","October","November","December"},0),1)</f>
        <v>42767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>
        <v>130.5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  <c r="AF149">
        <f t="shared" si="4"/>
        <v>133.42307692307693</v>
      </c>
      <c r="AG149">
        <v>143.69999999999999</v>
      </c>
      <c r="AH149">
        <f>Table1[[#This Row],[Clothing and footwear]]</f>
        <v>140.19999999999999</v>
      </c>
      <c r="AI149">
        <v>130.5</v>
      </c>
      <c r="AJ149">
        <v>133.19999999999999</v>
      </c>
      <c r="AK149">
        <f>AVERAGE(Table1[[#This Row],[Household goods and services]],Table1[[#This Row],[Personal care and effects]])</f>
        <v>128.4</v>
      </c>
      <c r="AL149">
        <f>Table1[[#This Row],[Health]]</f>
        <v>130.1</v>
      </c>
      <c r="AM149">
        <v>119.5</v>
      </c>
      <c r="AN149">
        <f>AVERAGE(Table1[[#This Row],[Education]],Table1[[#This Row],[Recreation and amusement]])</f>
        <v>131.30000000000001</v>
      </c>
      <c r="AO149">
        <f>Table1[[#This Row],[Miscellaneous]]</f>
        <v>127</v>
      </c>
      <c r="AP149" t="str">
        <f t="shared" si="5"/>
        <v>Pre-COVID</v>
      </c>
    </row>
    <row r="150" spans="1:42" x14ac:dyDescent="0.25">
      <c r="A150" t="s">
        <v>33</v>
      </c>
      <c r="B150">
        <v>2017</v>
      </c>
      <c r="C150" t="s">
        <v>35</v>
      </c>
      <c r="D150" s="3">
        <f>DATE(B150,MATCH(C150,{"January","February","March","April","May","June","July","August","September","October","November","December"},0),1)</f>
        <v>42767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  <c r="AF150">
        <f t="shared" si="4"/>
        <v>131.17692307692309</v>
      </c>
      <c r="AG150">
        <v>146.30000000000001</v>
      </c>
      <c r="AH150">
        <f>Table1[[#This Row],[Clothing and footwear]]</f>
        <v>129.30000000000001</v>
      </c>
      <c r="AI150">
        <v>130.5</v>
      </c>
      <c r="AJ150">
        <v>119.2</v>
      </c>
      <c r="AK150">
        <f>AVERAGE(Table1[[#This Row],[Household goods and services]],Table1[[#This Row],[Personal care and effects]])</f>
        <v>123.5</v>
      </c>
      <c r="AL150">
        <f>Table1[[#This Row],[Health]]</f>
        <v>122.9</v>
      </c>
      <c r="AM150">
        <v>115.5</v>
      </c>
      <c r="AN150">
        <f>AVERAGE(Table1[[#This Row],[Education]],Table1[[#This Row],[Recreation and amusement]])</f>
        <v>127.30000000000001</v>
      </c>
      <c r="AO150">
        <f>Table1[[#This Row],[Miscellaneous]]</f>
        <v>122.4</v>
      </c>
      <c r="AP150" t="str">
        <f t="shared" si="5"/>
        <v>Pre-COVID</v>
      </c>
    </row>
    <row r="151" spans="1:42" x14ac:dyDescent="0.25">
      <c r="A151" t="s">
        <v>34</v>
      </c>
      <c r="B151">
        <v>2017</v>
      </c>
      <c r="C151" t="s">
        <v>35</v>
      </c>
      <c r="D151" s="3">
        <f>DATE(B151,MATCH(C151,{"January","February","March","April","May","June","July","August","September","October","November","December"},0),1)</f>
        <v>42767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  <c r="AF151">
        <f t="shared" si="4"/>
        <v>132.48461538461541</v>
      </c>
      <c r="AG151">
        <v>144.4</v>
      </c>
      <c r="AH151">
        <f>Table1[[#This Row],[Clothing and footwear]]</f>
        <v>135.9</v>
      </c>
      <c r="AI151">
        <v>130.5</v>
      </c>
      <c r="AJ151">
        <v>127.9</v>
      </c>
      <c r="AK151">
        <f>AVERAGE(Table1[[#This Row],[Household goods and services]],Table1[[#This Row],[Personal care and effects]])</f>
        <v>126.14999999999999</v>
      </c>
      <c r="AL151">
        <f>Table1[[#This Row],[Health]]</f>
        <v>127.4</v>
      </c>
      <c r="AM151">
        <v>117.4</v>
      </c>
      <c r="AN151">
        <f>AVERAGE(Table1[[#This Row],[Education]],Table1[[#This Row],[Recreation and amusement]])</f>
        <v>129</v>
      </c>
      <c r="AO151">
        <f>Table1[[#This Row],[Miscellaneous]]</f>
        <v>124.8</v>
      </c>
      <c r="AP151" t="str">
        <f t="shared" si="5"/>
        <v>Pre-COVID</v>
      </c>
    </row>
    <row r="152" spans="1:42" x14ac:dyDescent="0.25">
      <c r="A152" t="s">
        <v>30</v>
      </c>
      <c r="B152">
        <v>2017</v>
      </c>
      <c r="C152" t="s">
        <v>36</v>
      </c>
      <c r="D152" s="3">
        <f>DATE(B152,MATCH(C152,{"January","February","March","April","May","June","July","August","September","October","November","December"},0),1)</f>
        <v>42795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>
        <v>131.1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  <c r="AF152">
        <f t="shared" si="4"/>
        <v>132.96153846153848</v>
      </c>
      <c r="AG152">
        <v>144.19999999999999</v>
      </c>
      <c r="AH152">
        <f>Table1[[#This Row],[Clothing and footwear]]</f>
        <v>140.80000000000001</v>
      </c>
      <c r="AI152">
        <v>131.1</v>
      </c>
      <c r="AJ152">
        <v>134.19999999999999</v>
      </c>
      <c r="AK152">
        <f>AVERAGE(Table1[[#This Row],[Household goods and services]],Table1[[#This Row],[Personal care and effects]])</f>
        <v>128.69999999999999</v>
      </c>
      <c r="AL152">
        <f>Table1[[#This Row],[Health]]</f>
        <v>130.6</v>
      </c>
      <c r="AM152">
        <v>119.8</v>
      </c>
      <c r="AN152">
        <f>AVERAGE(Table1[[#This Row],[Education]],Table1[[#This Row],[Recreation and amusement]])</f>
        <v>131.75</v>
      </c>
      <c r="AO152">
        <f>Table1[[#This Row],[Miscellaneous]]</f>
        <v>127.4</v>
      </c>
      <c r="AP152" t="str">
        <f t="shared" si="5"/>
        <v>Pre-COVID</v>
      </c>
    </row>
    <row r="153" spans="1:42" x14ac:dyDescent="0.25">
      <c r="A153" t="s">
        <v>33</v>
      </c>
      <c r="B153">
        <v>2017</v>
      </c>
      <c r="C153" t="s">
        <v>36</v>
      </c>
      <c r="D153" s="3">
        <f>DATE(B153,MATCH(C153,{"January","February","March","April","May","June","July","August","September","October","November","December"},0),1)</f>
        <v>42795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  <c r="AF153">
        <f t="shared" si="4"/>
        <v>131.2076923076923</v>
      </c>
      <c r="AG153">
        <v>147.5</v>
      </c>
      <c r="AH153">
        <f>Table1[[#This Row],[Clothing and footwear]]</f>
        <v>129.6</v>
      </c>
      <c r="AI153">
        <v>131.1</v>
      </c>
      <c r="AJ153">
        <v>120.8</v>
      </c>
      <c r="AK153">
        <f>AVERAGE(Table1[[#This Row],[Household goods and services]],Table1[[#This Row],[Personal care and effects]])</f>
        <v>123.65</v>
      </c>
      <c r="AL153">
        <f>Table1[[#This Row],[Health]]</f>
        <v>123.1</v>
      </c>
      <c r="AM153">
        <v>115.6</v>
      </c>
      <c r="AN153">
        <f>AVERAGE(Table1[[#This Row],[Education]],Table1[[#This Row],[Recreation and amusement]])</f>
        <v>127.60000000000001</v>
      </c>
      <c r="AO153">
        <f>Table1[[#This Row],[Miscellaneous]]</f>
        <v>122.6</v>
      </c>
      <c r="AP153" t="str">
        <f t="shared" si="5"/>
        <v>Pre-COVID</v>
      </c>
    </row>
    <row r="154" spans="1:42" x14ac:dyDescent="0.25">
      <c r="A154" t="s">
        <v>34</v>
      </c>
      <c r="B154">
        <v>2017</v>
      </c>
      <c r="C154" t="s">
        <v>36</v>
      </c>
      <c r="D154" s="3">
        <f>DATE(B154,MATCH(C154,{"January","February","March","April","May","June","July","August","September","October","November","December"},0),1)</f>
        <v>42795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  <c r="AF154">
        <f t="shared" si="4"/>
        <v>132.22307692307692</v>
      </c>
      <c r="AG154">
        <v>145.1</v>
      </c>
      <c r="AH154">
        <f>Table1[[#This Row],[Clothing and footwear]]</f>
        <v>136.4</v>
      </c>
      <c r="AI154">
        <v>131.1</v>
      </c>
      <c r="AJ154">
        <v>129.1</v>
      </c>
      <c r="AK154">
        <f>AVERAGE(Table1[[#This Row],[Household goods and services]],Table1[[#This Row],[Personal care and effects]])</f>
        <v>126.35</v>
      </c>
      <c r="AL154">
        <f>Table1[[#This Row],[Health]]</f>
        <v>127.8</v>
      </c>
      <c r="AM154">
        <v>117.6</v>
      </c>
      <c r="AN154">
        <f>AVERAGE(Table1[[#This Row],[Education]],Table1[[#This Row],[Recreation and amusement]])</f>
        <v>129.4</v>
      </c>
      <c r="AO154">
        <f>Table1[[#This Row],[Miscellaneous]]</f>
        <v>125.1</v>
      </c>
      <c r="AP154" t="str">
        <f t="shared" si="5"/>
        <v>Pre-COVID</v>
      </c>
    </row>
    <row r="155" spans="1:42" x14ac:dyDescent="0.25">
      <c r="A155" t="s">
        <v>30</v>
      </c>
      <c r="B155">
        <v>2017</v>
      </c>
      <c r="C155" t="s">
        <v>37</v>
      </c>
      <c r="D155" s="3">
        <f>DATE(B155,MATCH(C155,{"January","February","March","April","May","June","July","August","September","October","November","December"},0),1)</f>
        <v>42826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>
        <v>131.69999999999999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  <c r="AF155">
        <f t="shared" si="4"/>
        <v>132.7923076923077</v>
      </c>
      <c r="AG155">
        <v>144.4</v>
      </c>
      <c r="AH155">
        <f>Table1[[#This Row],[Clothing and footwear]]</f>
        <v>141.6</v>
      </c>
      <c r="AI155">
        <v>131.69999999999999</v>
      </c>
      <c r="AJ155">
        <v>135</v>
      </c>
      <c r="AK155">
        <f>AVERAGE(Table1[[#This Row],[Household goods and services]],Table1[[#This Row],[Personal care and effects]])</f>
        <v>129</v>
      </c>
      <c r="AL155">
        <f>Table1[[#This Row],[Health]]</f>
        <v>131</v>
      </c>
      <c r="AM155">
        <v>119.2</v>
      </c>
      <c r="AN155">
        <f>AVERAGE(Table1[[#This Row],[Education]],Table1[[#This Row],[Recreation and amusement]])</f>
        <v>132</v>
      </c>
      <c r="AO155">
        <f>Table1[[#This Row],[Miscellaneous]]</f>
        <v>127.5</v>
      </c>
      <c r="AP155" t="str">
        <f t="shared" si="5"/>
        <v>Pre-COVID</v>
      </c>
    </row>
    <row r="156" spans="1:42" x14ac:dyDescent="0.25">
      <c r="A156" t="s">
        <v>33</v>
      </c>
      <c r="B156">
        <v>2017</v>
      </c>
      <c r="C156" t="s">
        <v>37</v>
      </c>
      <c r="D156" s="3">
        <f>DATE(B156,MATCH(C156,{"January","February","March","April","May","June","July","August","September","October","November","December"},0),1)</f>
        <v>42826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  <c r="AF156">
        <f t="shared" si="4"/>
        <v>131.3923076923077</v>
      </c>
      <c r="AG156">
        <v>148</v>
      </c>
      <c r="AH156">
        <f>Table1[[#This Row],[Clothing and footwear]]</f>
        <v>130</v>
      </c>
      <c r="AI156">
        <v>131.69999999999999</v>
      </c>
      <c r="AJ156">
        <v>121.4</v>
      </c>
      <c r="AK156">
        <f>AVERAGE(Table1[[#This Row],[Household goods and services]],Table1[[#This Row],[Personal care and effects]])</f>
        <v>124.1</v>
      </c>
      <c r="AL156">
        <f>Table1[[#This Row],[Health]]</f>
        <v>123.4</v>
      </c>
      <c r="AM156">
        <v>114.3</v>
      </c>
      <c r="AN156">
        <f>AVERAGE(Table1[[#This Row],[Education]],Table1[[#This Row],[Recreation and amusement]])</f>
        <v>128.1</v>
      </c>
      <c r="AO156">
        <f>Table1[[#This Row],[Miscellaneous]]</f>
        <v>122.5</v>
      </c>
      <c r="AP156" t="str">
        <f t="shared" si="5"/>
        <v>Pre-COVID</v>
      </c>
    </row>
    <row r="157" spans="1:42" x14ac:dyDescent="0.25">
      <c r="A157" t="s">
        <v>34</v>
      </c>
      <c r="B157">
        <v>2017</v>
      </c>
      <c r="C157" t="s">
        <v>37</v>
      </c>
      <c r="D157" s="3">
        <f>DATE(B157,MATCH(C157,{"January","February","March","April","May","June","July","August","September","October","November","December"},0),1)</f>
        <v>42826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  <c r="AF157">
        <f t="shared" si="4"/>
        <v>132.1846153846154</v>
      </c>
      <c r="AG157">
        <v>145.4</v>
      </c>
      <c r="AH157">
        <f>Table1[[#This Row],[Clothing and footwear]]</f>
        <v>137</v>
      </c>
      <c r="AI157">
        <v>131.69999999999999</v>
      </c>
      <c r="AJ157">
        <v>129.80000000000001</v>
      </c>
      <c r="AK157">
        <f>AVERAGE(Table1[[#This Row],[Household goods and services]],Table1[[#This Row],[Personal care and effects]])</f>
        <v>126.75</v>
      </c>
      <c r="AL157">
        <f>Table1[[#This Row],[Health]]</f>
        <v>128.1</v>
      </c>
      <c r="AM157">
        <v>116.6</v>
      </c>
      <c r="AN157">
        <f>AVERAGE(Table1[[#This Row],[Education]],Table1[[#This Row],[Recreation and amusement]])</f>
        <v>129.80000000000001</v>
      </c>
      <c r="AO157">
        <f>Table1[[#This Row],[Miscellaneous]]</f>
        <v>125.1</v>
      </c>
      <c r="AP157" t="str">
        <f t="shared" si="5"/>
        <v>Pre-COVID</v>
      </c>
    </row>
    <row r="158" spans="1:42" x14ac:dyDescent="0.25">
      <c r="A158" t="s">
        <v>30</v>
      </c>
      <c r="B158">
        <v>2017</v>
      </c>
      <c r="C158" t="s">
        <v>38</v>
      </c>
      <c r="D158" s="3">
        <f>DATE(B158,MATCH(C158,{"January","February","March","April","May","June","July","August","September","October","November","December"},0),1)</f>
        <v>42856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>
        <v>132.1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  <c r="AF158">
        <f t="shared" si="4"/>
        <v>132.88461538461536</v>
      </c>
      <c r="AG158">
        <v>145.5</v>
      </c>
      <c r="AH158">
        <f>Table1[[#This Row],[Clothing and footwear]]</f>
        <v>141.80000000000001</v>
      </c>
      <c r="AI158">
        <v>132.1</v>
      </c>
      <c r="AJ158">
        <v>135</v>
      </c>
      <c r="AK158">
        <f>AVERAGE(Table1[[#This Row],[Household goods and services]],Table1[[#This Row],[Personal care and effects]])</f>
        <v>129.30000000000001</v>
      </c>
      <c r="AL158">
        <f>Table1[[#This Row],[Health]]</f>
        <v>131.4</v>
      </c>
      <c r="AM158">
        <v>119.4</v>
      </c>
      <c r="AN158">
        <f>AVERAGE(Table1[[#This Row],[Education]],Table1[[#This Row],[Recreation and amusement]])</f>
        <v>132.85000000000002</v>
      </c>
      <c r="AO158">
        <f>Table1[[#This Row],[Miscellaneous]]</f>
        <v>127.9</v>
      </c>
      <c r="AP158" t="str">
        <f t="shared" si="5"/>
        <v>Pre-COVID</v>
      </c>
    </row>
    <row r="159" spans="1:42" x14ac:dyDescent="0.25">
      <c r="A159" t="s">
        <v>33</v>
      </c>
      <c r="B159">
        <v>2017</v>
      </c>
      <c r="C159" t="s">
        <v>38</v>
      </c>
      <c r="D159" s="3">
        <f>DATE(B159,MATCH(C159,{"January","February","March","April","May","June","July","August","September","October","November","December"},0),1)</f>
        <v>42856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  <c r="AF159">
        <f t="shared" si="4"/>
        <v>131.50769230769231</v>
      </c>
      <c r="AG159">
        <v>148.30000000000001</v>
      </c>
      <c r="AH159">
        <f>Table1[[#This Row],[Clothing and footwear]]</f>
        <v>130.19999999999999</v>
      </c>
      <c r="AI159">
        <v>132.1</v>
      </c>
      <c r="AJ159">
        <v>120.1</v>
      </c>
      <c r="AK159">
        <f>AVERAGE(Table1[[#This Row],[Household goods and services]],Table1[[#This Row],[Personal care and effects]])</f>
        <v>124.25</v>
      </c>
      <c r="AL159">
        <f>Table1[[#This Row],[Health]]</f>
        <v>123.6</v>
      </c>
      <c r="AM159">
        <v>114.3</v>
      </c>
      <c r="AN159">
        <f>AVERAGE(Table1[[#This Row],[Education]],Table1[[#This Row],[Recreation and amusement]])</f>
        <v>128.30000000000001</v>
      </c>
      <c r="AO159">
        <f>Table1[[#This Row],[Miscellaneous]]</f>
        <v>122.6</v>
      </c>
      <c r="AP159" t="str">
        <f t="shared" si="5"/>
        <v>Pre-COVID</v>
      </c>
    </row>
    <row r="160" spans="1:42" x14ac:dyDescent="0.25">
      <c r="A160" t="s">
        <v>34</v>
      </c>
      <c r="B160">
        <v>2017</v>
      </c>
      <c r="C160" t="s">
        <v>38</v>
      </c>
      <c r="D160" s="3">
        <f>DATE(B160,MATCH(C160,{"January","February","March","April","May","June","July","August","September","October","November","December"},0),1)</f>
        <v>42856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  <c r="AF160">
        <f t="shared" si="4"/>
        <v>132.27692307692308</v>
      </c>
      <c r="AG160">
        <v>146.19999999999999</v>
      </c>
      <c r="AH160">
        <f>Table1[[#This Row],[Clothing and footwear]]</f>
        <v>137.19999999999999</v>
      </c>
      <c r="AI160">
        <v>132.1</v>
      </c>
      <c r="AJ160">
        <v>129.4</v>
      </c>
      <c r="AK160">
        <f>AVERAGE(Table1[[#This Row],[Household goods and services]],Table1[[#This Row],[Personal care and effects]])</f>
        <v>126.95</v>
      </c>
      <c r="AL160">
        <f>Table1[[#This Row],[Health]]</f>
        <v>128.4</v>
      </c>
      <c r="AM160">
        <v>116.7</v>
      </c>
      <c r="AN160">
        <f>AVERAGE(Table1[[#This Row],[Education]],Table1[[#This Row],[Recreation and amusement]])</f>
        <v>130.25</v>
      </c>
      <c r="AO160">
        <f>Table1[[#This Row],[Miscellaneous]]</f>
        <v>125.3</v>
      </c>
      <c r="AP160" t="str">
        <f t="shared" si="5"/>
        <v>Pre-COVID</v>
      </c>
    </row>
    <row r="161" spans="1:42" x14ac:dyDescent="0.25">
      <c r="A161" t="s">
        <v>30</v>
      </c>
      <c r="B161">
        <v>2017</v>
      </c>
      <c r="C161" t="s">
        <v>39</v>
      </c>
      <c r="D161" s="3">
        <f>DATE(B161,MATCH(C161,{"January","February","March","April","May","June","July","August","September","October","November","December"},0),1)</f>
        <v>42887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>
        <v>131.4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  <c r="AF161">
        <f t="shared" si="4"/>
        <v>133.75384615384615</v>
      </c>
      <c r="AG161">
        <v>145.80000000000001</v>
      </c>
      <c r="AH161">
        <f>Table1[[#This Row],[Clothing and footwear]]</f>
        <v>142.30000000000001</v>
      </c>
      <c r="AI161">
        <v>131.4</v>
      </c>
      <c r="AJ161">
        <v>134.80000000000001</v>
      </c>
      <c r="AK161">
        <f>AVERAGE(Table1[[#This Row],[Household goods and services]],Table1[[#This Row],[Personal care and effects]])</f>
        <v>129.64999999999998</v>
      </c>
      <c r="AL161">
        <f>Table1[[#This Row],[Health]]</f>
        <v>131.30000000000001</v>
      </c>
      <c r="AM161">
        <v>119.4</v>
      </c>
      <c r="AN161">
        <f>AVERAGE(Table1[[#This Row],[Education]],Table1[[#This Row],[Recreation and amusement]])</f>
        <v>133.35000000000002</v>
      </c>
      <c r="AO161">
        <f>Table1[[#This Row],[Miscellaneous]]</f>
        <v>128.1</v>
      </c>
      <c r="AP161" t="str">
        <f t="shared" si="5"/>
        <v>Pre-COVID</v>
      </c>
    </row>
    <row r="162" spans="1:42" x14ac:dyDescent="0.25">
      <c r="A162" t="s">
        <v>33</v>
      </c>
      <c r="B162">
        <v>2017</v>
      </c>
      <c r="C162" t="s">
        <v>39</v>
      </c>
      <c r="D162" s="3">
        <f>DATE(B162,MATCH(C162,{"January","February","March","April","May","June","July","August","September","October","November","December"},0),1)</f>
        <v>42887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  <c r="AF162">
        <f t="shared" si="4"/>
        <v>133.15384615384616</v>
      </c>
      <c r="AG162">
        <v>148.6</v>
      </c>
      <c r="AH162">
        <f>Table1[[#This Row],[Clothing and footwear]]</f>
        <v>130.19999999999999</v>
      </c>
      <c r="AI162">
        <v>131.4</v>
      </c>
      <c r="AJ162">
        <v>119</v>
      </c>
      <c r="AK162">
        <f>AVERAGE(Table1[[#This Row],[Household goods and services]],Table1[[#This Row],[Personal care and effects]])</f>
        <v>124.65</v>
      </c>
      <c r="AL162">
        <f>Table1[[#This Row],[Health]]</f>
        <v>123.8</v>
      </c>
      <c r="AM162">
        <v>113.9</v>
      </c>
      <c r="AN162">
        <f>AVERAGE(Table1[[#This Row],[Education]],Table1[[#This Row],[Recreation and amusement]])</f>
        <v>128.60000000000002</v>
      </c>
      <c r="AO162">
        <f>Table1[[#This Row],[Miscellaneous]]</f>
        <v>122.7</v>
      </c>
      <c r="AP162" t="str">
        <f t="shared" si="5"/>
        <v>Pre-COVID</v>
      </c>
    </row>
    <row r="163" spans="1:42" x14ac:dyDescent="0.25">
      <c r="A163" t="s">
        <v>34</v>
      </c>
      <c r="B163">
        <v>2017</v>
      </c>
      <c r="C163" t="s">
        <v>39</v>
      </c>
      <c r="D163" s="3">
        <f>DATE(B163,MATCH(C163,{"January","February","March","April","May","June","July","August","September","October","November","December"},0),1)</f>
        <v>42887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  <c r="AF163">
        <f t="shared" si="4"/>
        <v>133.43846153846155</v>
      </c>
      <c r="AG163">
        <v>146.5</v>
      </c>
      <c r="AH163">
        <f>Table1[[#This Row],[Clothing and footwear]]</f>
        <v>137.5</v>
      </c>
      <c r="AI163">
        <v>131.4</v>
      </c>
      <c r="AJ163">
        <v>128.80000000000001</v>
      </c>
      <c r="AK163">
        <f>AVERAGE(Table1[[#This Row],[Household goods and services]],Table1[[#This Row],[Personal care and effects]])</f>
        <v>127.3</v>
      </c>
      <c r="AL163">
        <f>Table1[[#This Row],[Health]]</f>
        <v>128.5</v>
      </c>
      <c r="AM163">
        <v>116.5</v>
      </c>
      <c r="AN163">
        <f>AVERAGE(Table1[[#This Row],[Education]],Table1[[#This Row],[Recreation and amusement]])</f>
        <v>130.65</v>
      </c>
      <c r="AO163">
        <f>Table1[[#This Row],[Miscellaneous]]</f>
        <v>125.5</v>
      </c>
      <c r="AP163" t="str">
        <f t="shared" si="5"/>
        <v>Pre-COVID</v>
      </c>
    </row>
    <row r="164" spans="1:42" x14ac:dyDescent="0.25">
      <c r="A164" t="s">
        <v>30</v>
      </c>
      <c r="B164">
        <v>2017</v>
      </c>
      <c r="C164" t="s">
        <v>40</v>
      </c>
      <c r="D164" s="3">
        <f>DATE(B164,MATCH(C164,{"January","February","March","April","May","June","July","August","September","October","November","December"},0),1)</f>
        <v>42917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>
        <v>132.6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  <c r="AF164">
        <f t="shared" si="4"/>
        <v>136.37692307692308</v>
      </c>
      <c r="AG164">
        <v>147.4</v>
      </c>
      <c r="AH164">
        <f>Table1[[#This Row],[Clothing and footwear]]</f>
        <v>143.5</v>
      </c>
      <c r="AI164">
        <v>132.6</v>
      </c>
      <c r="AJ164">
        <v>135.30000000000001</v>
      </c>
      <c r="AK164">
        <f>AVERAGE(Table1[[#This Row],[Household goods and services]],Table1[[#This Row],[Personal care and effects]])</f>
        <v>130.25</v>
      </c>
      <c r="AL164">
        <f>Table1[[#This Row],[Health]]</f>
        <v>132.1</v>
      </c>
      <c r="AM164">
        <v>119.1</v>
      </c>
      <c r="AN164">
        <f>AVERAGE(Table1[[#This Row],[Education]],Table1[[#This Row],[Recreation and amusement]])</f>
        <v>134.6</v>
      </c>
      <c r="AO164">
        <f>Table1[[#This Row],[Miscellaneous]]</f>
        <v>128.6</v>
      </c>
      <c r="AP164" t="str">
        <f t="shared" si="5"/>
        <v>Pre-COVID</v>
      </c>
    </row>
    <row r="165" spans="1:42" x14ac:dyDescent="0.25">
      <c r="A165" t="s">
        <v>33</v>
      </c>
      <c r="B165">
        <v>2017</v>
      </c>
      <c r="C165" t="s">
        <v>40</v>
      </c>
      <c r="D165" s="3">
        <f>DATE(B165,MATCH(C165,{"January","February","March","April","May","June","July","August","September","October","November","December"},0),1)</f>
        <v>42917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  <c r="AF165">
        <f t="shared" si="4"/>
        <v>136.00769230769231</v>
      </c>
      <c r="AG165">
        <v>150.5</v>
      </c>
      <c r="AH165">
        <f>Table1[[#This Row],[Clothing and footwear]]</f>
        <v>130.4</v>
      </c>
      <c r="AI165">
        <v>132.6</v>
      </c>
      <c r="AJ165">
        <v>119.7</v>
      </c>
      <c r="AK165">
        <f>AVERAGE(Table1[[#This Row],[Household goods and services]],Table1[[#This Row],[Personal care and effects]])</f>
        <v>124.80000000000001</v>
      </c>
      <c r="AL165">
        <f>Table1[[#This Row],[Health]]</f>
        <v>125</v>
      </c>
      <c r="AM165">
        <v>113.2</v>
      </c>
      <c r="AN165">
        <f>AVERAGE(Table1[[#This Row],[Education]],Table1[[#This Row],[Recreation and amusement]])</f>
        <v>129.5</v>
      </c>
      <c r="AO165">
        <f>Table1[[#This Row],[Miscellaneous]]</f>
        <v>123</v>
      </c>
      <c r="AP165" t="str">
        <f t="shared" si="5"/>
        <v>Pre-COVID</v>
      </c>
    </row>
    <row r="166" spans="1:42" x14ac:dyDescent="0.25">
      <c r="A166" t="s">
        <v>34</v>
      </c>
      <c r="B166">
        <v>2017</v>
      </c>
      <c r="C166" t="s">
        <v>40</v>
      </c>
      <c r="D166" s="3">
        <f>DATE(B166,MATCH(C166,{"January","February","March","April","May","June","July","August","September","October","November","December"},0),1)</f>
        <v>42917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  <c r="AF166">
        <f t="shared" si="4"/>
        <v>136.1076923076923</v>
      </c>
      <c r="AG166">
        <v>148.19999999999999</v>
      </c>
      <c r="AH166">
        <f>Table1[[#This Row],[Clothing and footwear]]</f>
        <v>138.30000000000001</v>
      </c>
      <c r="AI166">
        <v>132.6</v>
      </c>
      <c r="AJ166">
        <v>129.4</v>
      </c>
      <c r="AK166">
        <f>AVERAGE(Table1[[#This Row],[Household goods and services]],Table1[[#This Row],[Personal care and effects]])</f>
        <v>127.75</v>
      </c>
      <c r="AL166">
        <f>Table1[[#This Row],[Health]]</f>
        <v>129.4</v>
      </c>
      <c r="AM166">
        <v>116</v>
      </c>
      <c r="AN166">
        <f>AVERAGE(Table1[[#This Row],[Education]],Table1[[#This Row],[Recreation and amusement]])</f>
        <v>131.69999999999999</v>
      </c>
      <c r="AO166">
        <f>Table1[[#This Row],[Miscellaneous]]</f>
        <v>125.9</v>
      </c>
      <c r="AP166" t="str">
        <f t="shared" si="5"/>
        <v>Pre-COVID</v>
      </c>
    </row>
    <row r="167" spans="1:42" x14ac:dyDescent="0.25">
      <c r="A167" t="s">
        <v>30</v>
      </c>
      <c r="B167">
        <v>2017</v>
      </c>
      <c r="C167" t="s">
        <v>41</v>
      </c>
      <c r="D167" s="3">
        <f>DATE(B167,MATCH(C167,{"January","February","March","April","May","June","July","August","September","October","November","December"},0),1)</f>
        <v>42948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>
        <v>134.4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  <c r="AF167">
        <f t="shared" si="4"/>
        <v>137.88461538461536</v>
      </c>
      <c r="AG167">
        <v>149</v>
      </c>
      <c r="AH167">
        <f>Table1[[#This Row],[Clothing and footwear]]</f>
        <v>144.5</v>
      </c>
      <c r="AI167">
        <v>134.4</v>
      </c>
      <c r="AJ167">
        <v>136.4</v>
      </c>
      <c r="AK167">
        <f>AVERAGE(Table1[[#This Row],[Household goods and services]],Table1[[#This Row],[Personal care and effects]])</f>
        <v>131.35000000000002</v>
      </c>
      <c r="AL167">
        <f>Table1[[#This Row],[Health]]</f>
        <v>133</v>
      </c>
      <c r="AM167">
        <v>120.3</v>
      </c>
      <c r="AN167">
        <f>AVERAGE(Table1[[#This Row],[Education]],Table1[[#This Row],[Recreation and amusement]])</f>
        <v>135.85</v>
      </c>
      <c r="AO167">
        <f>Table1[[#This Row],[Miscellaneous]]</f>
        <v>129.69999999999999</v>
      </c>
      <c r="AP167" t="str">
        <f t="shared" si="5"/>
        <v>Pre-COVID</v>
      </c>
    </row>
    <row r="168" spans="1:42" x14ac:dyDescent="0.25">
      <c r="A168" t="s">
        <v>33</v>
      </c>
      <c r="B168">
        <v>2017</v>
      </c>
      <c r="C168" t="s">
        <v>41</v>
      </c>
      <c r="D168" s="3">
        <f>DATE(B168,MATCH(C168,{"January","February","March","April","May","June","July","August","September","October","November","December"},0),1)</f>
        <v>42948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  <c r="AF168">
        <f t="shared" si="4"/>
        <v>136.38461538461536</v>
      </c>
      <c r="AG168">
        <v>152.1</v>
      </c>
      <c r="AH168">
        <f>Table1[[#This Row],[Clothing and footwear]]</f>
        <v>131.4</v>
      </c>
      <c r="AI168">
        <v>134.4</v>
      </c>
      <c r="AJ168">
        <v>118.9</v>
      </c>
      <c r="AK168">
        <f>AVERAGE(Table1[[#This Row],[Household goods and services]],Table1[[#This Row],[Personal care and effects]])</f>
        <v>125.5</v>
      </c>
      <c r="AL168">
        <f>Table1[[#This Row],[Health]]</f>
        <v>125.7</v>
      </c>
      <c r="AM168">
        <v>114.6</v>
      </c>
      <c r="AN168">
        <f>AVERAGE(Table1[[#This Row],[Education]],Table1[[#This Row],[Recreation and amusement]])</f>
        <v>129.89999999999998</v>
      </c>
      <c r="AO168">
        <f>Table1[[#This Row],[Miscellaneous]]</f>
        <v>123.8</v>
      </c>
      <c r="AP168" t="str">
        <f t="shared" si="5"/>
        <v>Pre-COVID</v>
      </c>
    </row>
    <row r="169" spans="1:42" x14ac:dyDescent="0.25">
      <c r="A169" t="s">
        <v>34</v>
      </c>
      <c r="B169">
        <v>2017</v>
      </c>
      <c r="C169" t="s">
        <v>41</v>
      </c>
      <c r="D169" s="3">
        <f>DATE(B169,MATCH(C169,{"January","February","March","April","May","June","July","August","September","October","November","December"},0),1)</f>
        <v>42948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  <c r="AF169">
        <f t="shared" si="4"/>
        <v>137.21538461538461</v>
      </c>
      <c r="AG169">
        <v>149.80000000000001</v>
      </c>
      <c r="AH169">
        <f>Table1[[#This Row],[Clothing and footwear]]</f>
        <v>139.30000000000001</v>
      </c>
      <c r="AI169">
        <v>134.4</v>
      </c>
      <c r="AJ169">
        <v>129.80000000000001</v>
      </c>
      <c r="AK169">
        <f>AVERAGE(Table1[[#This Row],[Household goods and services]],Table1[[#This Row],[Personal care and effects]])</f>
        <v>128.65</v>
      </c>
      <c r="AL169">
        <f>Table1[[#This Row],[Health]]</f>
        <v>130.19999999999999</v>
      </c>
      <c r="AM169">
        <v>117.3</v>
      </c>
      <c r="AN169">
        <f>AVERAGE(Table1[[#This Row],[Education]],Table1[[#This Row],[Recreation and amusement]])</f>
        <v>132.44999999999999</v>
      </c>
      <c r="AO169">
        <f>Table1[[#This Row],[Miscellaneous]]</f>
        <v>126.8</v>
      </c>
      <c r="AP169" t="str">
        <f t="shared" si="5"/>
        <v>Pre-COVID</v>
      </c>
    </row>
    <row r="170" spans="1:42" x14ac:dyDescent="0.25">
      <c r="A170" t="s">
        <v>30</v>
      </c>
      <c r="B170">
        <v>2017</v>
      </c>
      <c r="C170" t="s">
        <v>42</v>
      </c>
      <c r="D170" s="3">
        <f>DATE(B170,MATCH(C170,{"January","February","March","April","May","June","July","August","September","October","November","December"},0),1)</f>
        <v>42979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>
        <v>135.69999999999999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  <c r="AF170">
        <f t="shared" si="4"/>
        <v>137.25384615384615</v>
      </c>
      <c r="AG170">
        <v>149.80000000000001</v>
      </c>
      <c r="AH170">
        <f>Table1[[#This Row],[Clothing and footwear]]</f>
        <v>145.19999999999999</v>
      </c>
      <c r="AI170">
        <v>135.69999999999999</v>
      </c>
      <c r="AJ170">
        <v>137.4</v>
      </c>
      <c r="AK170">
        <f>AVERAGE(Table1[[#This Row],[Household goods and services]],Table1[[#This Row],[Personal care and effects]])</f>
        <v>132.30000000000001</v>
      </c>
      <c r="AL170">
        <f>Table1[[#This Row],[Health]]</f>
        <v>133.4</v>
      </c>
      <c r="AM170">
        <v>121.2</v>
      </c>
      <c r="AN170">
        <f>AVERAGE(Table1[[#This Row],[Education]],Table1[[#This Row],[Recreation and amusement]])</f>
        <v>135.94999999999999</v>
      </c>
      <c r="AO170">
        <f>Table1[[#This Row],[Miscellaneous]]</f>
        <v>130.30000000000001</v>
      </c>
      <c r="AP170" t="str">
        <f t="shared" si="5"/>
        <v>Pre-COVID</v>
      </c>
    </row>
    <row r="171" spans="1:42" x14ac:dyDescent="0.25">
      <c r="A171" t="s">
        <v>33</v>
      </c>
      <c r="B171">
        <v>2017</v>
      </c>
      <c r="C171" t="s">
        <v>42</v>
      </c>
      <c r="D171" s="3">
        <f>DATE(B171,MATCH(C171,{"January","February","March","April","May","June","July","August","September","October","November","December"},0),1)</f>
        <v>42979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  <c r="AF171">
        <f t="shared" si="4"/>
        <v>134.59230769230768</v>
      </c>
      <c r="AG171">
        <v>153.6</v>
      </c>
      <c r="AH171">
        <f>Table1[[#This Row],[Clothing and footwear]]</f>
        <v>132</v>
      </c>
      <c r="AI171">
        <v>135.69999999999999</v>
      </c>
      <c r="AJ171">
        <v>120.6</v>
      </c>
      <c r="AK171">
        <f>AVERAGE(Table1[[#This Row],[Household goods and services]],Table1[[#This Row],[Personal care and effects]])</f>
        <v>126.25</v>
      </c>
      <c r="AL171">
        <f>Table1[[#This Row],[Health]]</f>
        <v>126.1</v>
      </c>
      <c r="AM171">
        <v>115.7</v>
      </c>
      <c r="AN171">
        <f>AVERAGE(Table1[[#This Row],[Education]],Table1[[#This Row],[Recreation and amusement]])</f>
        <v>130.19999999999999</v>
      </c>
      <c r="AO171">
        <f>Table1[[#This Row],[Miscellaneous]]</f>
        <v>124.5</v>
      </c>
      <c r="AP171" t="str">
        <f t="shared" si="5"/>
        <v>Pre-COVID</v>
      </c>
    </row>
    <row r="172" spans="1:42" x14ac:dyDescent="0.25">
      <c r="A172" t="s">
        <v>34</v>
      </c>
      <c r="B172">
        <v>2017</v>
      </c>
      <c r="C172" t="s">
        <v>42</v>
      </c>
      <c r="D172" s="3">
        <f>DATE(B172,MATCH(C172,{"January","February","March","April","May","June","July","August","September","October","November","December"},0),1)</f>
        <v>42979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  <c r="AF172">
        <f t="shared" si="4"/>
        <v>136.15384615384613</v>
      </c>
      <c r="AG172">
        <v>150.80000000000001</v>
      </c>
      <c r="AH172">
        <f>Table1[[#This Row],[Clothing and footwear]]</f>
        <v>140</v>
      </c>
      <c r="AI172">
        <v>135.69999999999999</v>
      </c>
      <c r="AJ172">
        <v>131</v>
      </c>
      <c r="AK172">
        <f>AVERAGE(Table1[[#This Row],[Household goods and services]],Table1[[#This Row],[Personal care and effects]])</f>
        <v>129.5</v>
      </c>
      <c r="AL172">
        <f>Table1[[#This Row],[Health]]</f>
        <v>130.6</v>
      </c>
      <c r="AM172">
        <v>118.3</v>
      </c>
      <c r="AN172">
        <f>AVERAGE(Table1[[#This Row],[Education]],Table1[[#This Row],[Recreation and amusement]])</f>
        <v>132.65</v>
      </c>
      <c r="AO172">
        <f>Table1[[#This Row],[Miscellaneous]]</f>
        <v>127.5</v>
      </c>
      <c r="AP172" t="str">
        <f t="shared" si="5"/>
        <v>Pre-COVID</v>
      </c>
    </row>
    <row r="173" spans="1:42" x14ac:dyDescent="0.25">
      <c r="A173" t="s">
        <v>30</v>
      </c>
      <c r="B173">
        <v>2017</v>
      </c>
      <c r="C173" t="s">
        <v>43</v>
      </c>
      <c r="D173" s="3">
        <f>DATE(B173,MATCH(C173,{"January","February","March","April","May","June","July","August","September","October","November","December"},0),1)</f>
        <v>43009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>
        <v>137.30000000000001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  <c r="AF173">
        <f t="shared" si="4"/>
        <v>137.76153846153846</v>
      </c>
      <c r="AG173">
        <v>150.5</v>
      </c>
      <c r="AH173">
        <f>Table1[[#This Row],[Clothing and footwear]]</f>
        <v>146.19999999999999</v>
      </c>
      <c r="AI173">
        <v>137.30000000000001</v>
      </c>
      <c r="AJ173">
        <v>138.1</v>
      </c>
      <c r="AK173">
        <f>AVERAGE(Table1[[#This Row],[Household goods and services]],Table1[[#This Row],[Personal care and effects]])</f>
        <v>132.9</v>
      </c>
      <c r="AL173">
        <f>Table1[[#This Row],[Health]]</f>
        <v>134.19999999999999</v>
      </c>
      <c r="AM173">
        <v>121</v>
      </c>
      <c r="AN173">
        <f>AVERAGE(Table1[[#This Row],[Education]],Table1[[#This Row],[Recreation and amusement]])</f>
        <v>136.55000000000001</v>
      </c>
      <c r="AO173">
        <f>Table1[[#This Row],[Miscellaneous]]</f>
        <v>130.69999999999999</v>
      </c>
      <c r="AP173" t="str">
        <f t="shared" si="5"/>
        <v>Pre-COVID</v>
      </c>
    </row>
    <row r="174" spans="1:42" x14ac:dyDescent="0.25">
      <c r="A174" t="s">
        <v>33</v>
      </c>
      <c r="B174">
        <v>2017</v>
      </c>
      <c r="C174" t="s">
        <v>43</v>
      </c>
      <c r="D174" s="3">
        <f>DATE(B174,MATCH(C174,{"January","February","March","April","May","June","July","August","September","October","November","December"},0),1)</f>
        <v>43009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  <c r="AF174">
        <f t="shared" si="4"/>
        <v>135.82307692307691</v>
      </c>
      <c r="AG174">
        <v>154.6</v>
      </c>
      <c r="AH174">
        <f>Table1[[#This Row],[Clothing and footwear]]</f>
        <v>132.6</v>
      </c>
      <c r="AI174">
        <v>137.30000000000001</v>
      </c>
      <c r="AJ174">
        <v>122.6</v>
      </c>
      <c r="AK174">
        <f>AVERAGE(Table1[[#This Row],[Household goods and services]],Table1[[#This Row],[Personal care and effects]])</f>
        <v>126.45</v>
      </c>
      <c r="AL174">
        <f>Table1[[#This Row],[Health]]</f>
        <v>126.6</v>
      </c>
      <c r="AM174">
        <v>115</v>
      </c>
      <c r="AN174">
        <f>AVERAGE(Table1[[#This Row],[Education]],Table1[[#This Row],[Recreation and amusement]])</f>
        <v>130.55000000000001</v>
      </c>
      <c r="AO174">
        <f>Table1[[#This Row],[Miscellaneous]]</f>
        <v>124.5</v>
      </c>
      <c r="AP174" t="str">
        <f t="shared" si="5"/>
        <v>Pre-COVID</v>
      </c>
    </row>
    <row r="175" spans="1:42" x14ac:dyDescent="0.25">
      <c r="A175" t="s">
        <v>34</v>
      </c>
      <c r="B175">
        <v>2017</v>
      </c>
      <c r="C175" t="s">
        <v>43</v>
      </c>
      <c r="D175" s="3">
        <f>DATE(B175,MATCH(C175,{"January","February","March","April","May","June","July","August","September","October","November","December"},0),1)</f>
        <v>43009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  <c r="AF175">
        <f t="shared" si="4"/>
        <v>136.89999999999998</v>
      </c>
      <c r="AG175">
        <v>151.6</v>
      </c>
      <c r="AH175">
        <f>Table1[[#This Row],[Clothing and footwear]]</f>
        <v>140.80000000000001</v>
      </c>
      <c r="AI175">
        <v>137.30000000000001</v>
      </c>
      <c r="AJ175">
        <v>132.19999999999999</v>
      </c>
      <c r="AK175">
        <f>AVERAGE(Table1[[#This Row],[Household goods and services]],Table1[[#This Row],[Personal care and effects]])</f>
        <v>129.9</v>
      </c>
      <c r="AL175">
        <f>Table1[[#This Row],[Health]]</f>
        <v>131.30000000000001</v>
      </c>
      <c r="AM175">
        <v>117.8</v>
      </c>
      <c r="AN175">
        <f>AVERAGE(Table1[[#This Row],[Education]],Table1[[#This Row],[Recreation and amusement]])</f>
        <v>133.15</v>
      </c>
      <c r="AO175">
        <f>Table1[[#This Row],[Miscellaneous]]</f>
        <v>127.7</v>
      </c>
      <c r="AP175" t="str">
        <f t="shared" si="5"/>
        <v>Pre-COVID</v>
      </c>
    </row>
    <row r="176" spans="1:42" x14ac:dyDescent="0.25">
      <c r="A176" t="s">
        <v>30</v>
      </c>
      <c r="B176">
        <v>2017</v>
      </c>
      <c r="C176" t="s">
        <v>45</v>
      </c>
      <c r="D176" s="3">
        <f>DATE(B176,MATCH(C176,{"January","February","March","April","May","June","July","August","September","October","November","December"},0),1)</f>
        <v>43040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>
        <v>138.6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  <c r="AF176">
        <f t="shared" si="4"/>
        <v>139.82307692307694</v>
      </c>
      <c r="AG176">
        <v>152.1</v>
      </c>
      <c r="AH176">
        <f>Table1[[#This Row],[Clothing and footwear]]</f>
        <v>147.30000000000001</v>
      </c>
      <c r="AI176">
        <v>138.6</v>
      </c>
      <c r="AJ176">
        <v>141.1</v>
      </c>
      <c r="AK176">
        <f>AVERAGE(Table1[[#This Row],[Household goods and services]],Table1[[#This Row],[Personal care and effects]])</f>
        <v>133.75</v>
      </c>
      <c r="AL176">
        <f>Table1[[#This Row],[Health]]</f>
        <v>135.80000000000001</v>
      </c>
      <c r="AM176">
        <v>121.6</v>
      </c>
      <c r="AN176">
        <f>AVERAGE(Table1[[#This Row],[Education]],Table1[[#This Row],[Recreation and amusement]])</f>
        <v>137.6</v>
      </c>
      <c r="AO176">
        <f>Table1[[#This Row],[Miscellaneous]]</f>
        <v>131.69999999999999</v>
      </c>
      <c r="AP176" t="str">
        <f t="shared" si="5"/>
        <v>Pre-COVID</v>
      </c>
    </row>
    <row r="177" spans="1:42" x14ac:dyDescent="0.25">
      <c r="A177" t="s">
        <v>33</v>
      </c>
      <c r="B177">
        <v>2017</v>
      </c>
      <c r="C177" t="s">
        <v>45</v>
      </c>
      <c r="D177" s="3">
        <f>DATE(B177,MATCH(C177,{"January","February","March","April","May","June","July","August","September","October","November","December"},0),1)</f>
        <v>43040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  <c r="AF177">
        <f t="shared" si="4"/>
        <v>138.2076923076923</v>
      </c>
      <c r="AG177">
        <v>156.19999999999999</v>
      </c>
      <c r="AH177">
        <f>Table1[[#This Row],[Clothing and footwear]]</f>
        <v>133.5</v>
      </c>
      <c r="AI177">
        <v>138.6</v>
      </c>
      <c r="AJ177">
        <v>125.7</v>
      </c>
      <c r="AK177">
        <f>AVERAGE(Table1[[#This Row],[Household goods and services]],Table1[[#This Row],[Personal care and effects]])</f>
        <v>126.85000000000001</v>
      </c>
      <c r="AL177">
        <f>Table1[[#This Row],[Health]]</f>
        <v>127.4</v>
      </c>
      <c r="AM177">
        <v>115.3</v>
      </c>
      <c r="AN177">
        <f>AVERAGE(Table1[[#This Row],[Education]],Table1[[#This Row],[Recreation and amusement]])</f>
        <v>130.85</v>
      </c>
      <c r="AO177">
        <f>Table1[[#This Row],[Miscellaneous]]</f>
        <v>124.9</v>
      </c>
      <c r="AP177" t="str">
        <f t="shared" si="5"/>
        <v>Pre-COVID</v>
      </c>
    </row>
    <row r="178" spans="1:42" x14ac:dyDescent="0.25">
      <c r="A178" t="s">
        <v>34</v>
      </c>
      <c r="B178">
        <v>2017</v>
      </c>
      <c r="C178" t="s">
        <v>45</v>
      </c>
      <c r="D178" s="3">
        <f>DATE(B178,MATCH(C178,{"January","February","March","April","May","June","July","August","September","October","November","December"},0),1)</f>
        <v>43040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  <c r="AF178">
        <f t="shared" si="4"/>
        <v>139.09230769230768</v>
      </c>
      <c r="AG178">
        <v>153.19999999999999</v>
      </c>
      <c r="AH178">
        <f>Table1[[#This Row],[Clothing and footwear]]</f>
        <v>141.80000000000001</v>
      </c>
      <c r="AI178">
        <v>138.6</v>
      </c>
      <c r="AJ178">
        <v>135.30000000000001</v>
      </c>
      <c r="AK178">
        <f>AVERAGE(Table1[[#This Row],[Household goods and services]],Table1[[#This Row],[Personal care and effects]])</f>
        <v>130.6</v>
      </c>
      <c r="AL178">
        <f>Table1[[#This Row],[Health]]</f>
        <v>132.6</v>
      </c>
      <c r="AM178">
        <v>118.3</v>
      </c>
      <c r="AN178">
        <f>AVERAGE(Table1[[#This Row],[Education]],Table1[[#This Row],[Recreation and amusement]])</f>
        <v>133.75</v>
      </c>
      <c r="AO178">
        <f>Table1[[#This Row],[Miscellaneous]]</f>
        <v>128.4</v>
      </c>
      <c r="AP178" t="str">
        <f t="shared" si="5"/>
        <v>Pre-COVID</v>
      </c>
    </row>
    <row r="179" spans="1:42" x14ac:dyDescent="0.25">
      <c r="A179" t="s">
        <v>30</v>
      </c>
      <c r="B179">
        <v>2017</v>
      </c>
      <c r="C179" t="s">
        <v>46</v>
      </c>
      <c r="D179" s="3">
        <f>DATE(B179,MATCH(C179,{"January","February","March","April","May","June","July","August","September","October","November","December"},0),1)</f>
        <v>43070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>
        <v>139.1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  <c r="AF179">
        <f t="shared" si="4"/>
        <v>139.50769230769231</v>
      </c>
      <c r="AG179">
        <v>153.19999999999999</v>
      </c>
      <c r="AH179">
        <f>Table1[[#This Row],[Clothing and footwear]]</f>
        <v>147.19999999999999</v>
      </c>
      <c r="AI179">
        <v>139.1</v>
      </c>
      <c r="AJ179">
        <v>142.6</v>
      </c>
      <c r="AK179">
        <f>AVERAGE(Table1[[#This Row],[Household goods and services]],Table1[[#This Row],[Personal care and effects]])</f>
        <v>133.65</v>
      </c>
      <c r="AL179">
        <f>Table1[[#This Row],[Health]]</f>
        <v>136.1</v>
      </c>
      <c r="AM179">
        <v>122</v>
      </c>
      <c r="AN179">
        <f>AVERAGE(Table1[[#This Row],[Education]],Table1[[#This Row],[Recreation and amusement]])</f>
        <v>137.25</v>
      </c>
      <c r="AO179">
        <f>Table1[[#This Row],[Miscellaneous]]</f>
        <v>131.9</v>
      </c>
      <c r="AP179" t="str">
        <f t="shared" si="5"/>
        <v>Pre-COVID</v>
      </c>
    </row>
    <row r="180" spans="1:42" x14ac:dyDescent="0.25">
      <c r="A180" t="s">
        <v>33</v>
      </c>
      <c r="B180">
        <v>2017</v>
      </c>
      <c r="C180" t="s">
        <v>46</v>
      </c>
      <c r="D180" s="3">
        <f>DATE(B180,MATCH(C180,{"January","February","March","April","May","June","July","August","September","October","November","December"},0),1)</f>
        <v>43070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  <c r="AF180">
        <f t="shared" si="4"/>
        <v>135.96153846153845</v>
      </c>
      <c r="AG180">
        <v>157</v>
      </c>
      <c r="AH180">
        <f>Table1[[#This Row],[Clothing and footwear]]</f>
        <v>134</v>
      </c>
      <c r="AI180">
        <v>139.1</v>
      </c>
      <c r="AJ180">
        <v>126.8</v>
      </c>
      <c r="AK180">
        <f>AVERAGE(Table1[[#This Row],[Household goods and services]],Table1[[#This Row],[Personal care and effects]])</f>
        <v>126.95</v>
      </c>
      <c r="AL180">
        <f>Table1[[#This Row],[Health]]</f>
        <v>128.19999999999999</v>
      </c>
      <c r="AM180">
        <v>115.3</v>
      </c>
      <c r="AN180">
        <f>AVERAGE(Table1[[#This Row],[Education]],Table1[[#This Row],[Recreation and amusement]])</f>
        <v>131.14999999999998</v>
      </c>
      <c r="AO180">
        <f>Table1[[#This Row],[Miscellaneous]]</f>
        <v>125.1</v>
      </c>
      <c r="AP180" t="str">
        <f t="shared" si="5"/>
        <v>Pre-COVID</v>
      </c>
    </row>
    <row r="181" spans="1:42" x14ac:dyDescent="0.25">
      <c r="A181" t="s">
        <v>34</v>
      </c>
      <c r="B181">
        <v>2017</v>
      </c>
      <c r="C181" t="s">
        <v>46</v>
      </c>
      <c r="D181" s="3">
        <f>DATE(B181,MATCH(C181,{"January","February","March","April","May","June","July","August","September","October","November","December"},0),1)</f>
        <v>43070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  <c r="AF181">
        <f t="shared" si="4"/>
        <v>138.07692307692307</v>
      </c>
      <c r="AG181">
        <v>154.19999999999999</v>
      </c>
      <c r="AH181">
        <f>Table1[[#This Row],[Clothing and footwear]]</f>
        <v>142</v>
      </c>
      <c r="AI181">
        <v>139.1</v>
      </c>
      <c r="AJ181">
        <v>136.6</v>
      </c>
      <c r="AK181">
        <f>AVERAGE(Table1[[#This Row],[Household goods and services]],Table1[[#This Row],[Personal care and effects]])</f>
        <v>130.6</v>
      </c>
      <c r="AL181">
        <f>Table1[[#This Row],[Health]]</f>
        <v>133.1</v>
      </c>
      <c r="AM181">
        <v>118.5</v>
      </c>
      <c r="AN181">
        <f>AVERAGE(Table1[[#This Row],[Education]],Table1[[#This Row],[Recreation and amusement]])</f>
        <v>133.75</v>
      </c>
      <c r="AO181">
        <f>Table1[[#This Row],[Miscellaneous]]</f>
        <v>128.6</v>
      </c>
      <c r="AP181" t="str">
        <f t="shared" si="5"/>
        <v>Pre-COVID</v>
      </c>
    </row>
    <row r="182" spans="1:42" x14ac:dyDescent="0.25">
      <c r="A182" t="s">
        <v>30</v>
      </c>
      <c r="B182">
        <v>2018</v>
      </c>
      <c r="C182" t="s">
        <v>31</v>
      </c>
      <c r="D182" s="3">
        <f>DATE(B182,MATCH(C182,{"January","February","March","April","May","June","July","August","September","October","November","December"},0),1)</f>
        <v>43101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>
        <v>140.4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  <c r="AF182">
        <f t="shared" si="4"/>
        <v>138.51538461538462</v>
      </c>
      <c r="AG182">
        <v>153.6</v>
      </c>
      <c r="AH182">
        <f>Table1[[#This Row],[Clothing and footwear]]</f>
        <v>147.5</v>
      </c>
      <c r="AI182">
        <v>140.4</v>
      </c>
      <c r="AJ182">
        <v>142.30000000000001</v>
      </c>
      <c r="AK182">
        <f>AVERAGE(Table1[[#This Row],[Household goods and services]],Table1[[#This Row],[Personal care and effects]])</f>
        <v>134.19999999999999</v>
      </c>
      <c r="AL182">
        <f>Table1[[#This Row],[Health]]</f>
        <v>136</v>
      </c>
      <c r="AM182">
        <v>122.7</v>
      </c>
      <c r="AN182">
        <f>AVERAGE(Table1[[#This Row],[Education]],Table1[[#This Row],[Recreation and amusement]])</f>
        <v>137.94999999999999</v>
      </c>
      <c r="AO182">
        <f>Table1[[#This Row],[Miscellaneous]]</f>
        <v>132.30000000000001</v>
      </c>
      <c r="AP182" t="str">
        <f t="shared" si="5"/>
        <v>Pre-COVID</v>
      </c>
    </row>
    <row r="183" spans="1:42" x14ac:dyDescent="0.25">
      <c r="A183" t="s">
        <v>33</v>
      </c>
      <c r="B183">
        <v>2018</v>
      </c>
      <c r="C183" t="s">
        <v>31</v>
      </c>
      <c r="D183" s="3">
        <f>DATE(B183,MATCH(C183,{"January","February","March","April","May","June","July","August","September","October","November","December"},0),1)</f>
        <v>43101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  <c r="AF183">
        <f t="shared" si="4"/>
        <v>134.48461538461541</v>
      </c>
      <c r="AG183">
        <v>157.69999999999999</v>
      </c>
      <c r="AH183">
        <f>Table1[[#This Row],[Clothing and footwear]]</f>
        <v>134.4</v>
      </c>
      <c r="AI183">
        <v>140.4</v>
      </c>
      <c r="AJ183">
        <v>127.3</v>
      </c>
      <c r="AK183">
        <f>AVERAGE(Table1[[#This Row],[Household goods and services]],Table1[[#This Row],[Personal care and effects]])</f>
        <v>127.5</v>
      </c>
      <c r="AL183">
        <f>Table1[[#This Row],[Health]]</f>
        <v>129</v>
      </c>
      <c r="AM183">
        <v>116.3</v>
      </c>
      <c r="AN183">
        <f>AVERAGE(Table1[[#This Row],[Education]],Table1[[#This Row],[Recreation and amusement]])</f>
        <v>131.65</v>
      </c>
      <c r="AO183">
        <f>Table1[[#This Row],[Miscellaneous]]</f>
        <v>125.8</v>
      </c>
      <c r="AP183" t="str">
        <f t="shared" si="5"/>
        <v>Pre-COVID</v>
      </c>
    </row>
    <row r="184" spans="1:42" x14ac:dyDescent="0.25">
      <c r="A184" t="s">
        <v>34</v>
      </c>
      <c r="B184">
        <v>2018</v>
      </c>
      <c r="C184" t="s">
        <v>31</v>
      </c>
      <c r="D184" s="3">
        <f>DATE(B184,MATCH(C184,{"January","February","March","April","May","June","July","August","September","October","November","December"},0),1)</f>
        <v>43101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  <c r="AF184">
        <f t="shared" si="4"/>
        <v>136.91538461538462</v>
      </c>
      <c r="AG184">
        <v>154.69999999999999</v>
      </c>
      <c r="AH184">
        <f>Table1[[#This Row],[Clothing and footwear]]</f>
        <v>142.30000000000001</v>
      </c>
      <c r="AI184">
        <v>140.4</v>
      </c>
      <c r="AJ184">
        <v>136.6</v>
      </c>
      <c r="AK184">
        <f>AVERAGE(Table1[[#This Row],[Household goods and services]],Table1[[#This Row],[Personal care and effects]])</f>
        <v>131.1</v>
      </c>
      <c r="AL184">
        <f>Table1[[#This Row],[Health]]</f>
        <v>133.30000000000001</v>
      </c>
      <c r="AM184">
        <v>119.3</v>
      </c>
      <c r="AN184">
        <f>AVERAGE(Table1[[#This Row],[Education]],Table1[[#This Row],[Recreation and amusement]])</f>
        <v>134.35</v>
      </c>
      <c r="AO184">
        <f>Table1[[#This Row],[Miscellaneous]]</f>
        <v>129.1</v>
      </c>
      <c r="AP184" t="str">
        <f t="shared" si="5"/>
        <v>Pre-COVID</v>
      </c>
    </row>
    <row r="185" spans="1:42" x14ac:dyDescent="0.25">
      <c r="A185" t="s">
        <v>30</v>
      </c>
      <c r="B185">
        <v>2018</v>
      </c>
      <c r="C185" t="s">
        <v>35</v>
      </c>
      <c r="D185" s="3">
        <f>DATE(B185,MATCH(C185,{"January","February","March","April","May","June","July","August","September","October","November","December"},0),1)</f>
        <v>43132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>
        <v>141.30000000000001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  <c r="AF185">
        <f t="shared" si="4"/>
        <v>137.03846153846155</v>
      </c>
      <c r="AG185">
        <v>153.30000000000001</v>
      </c>
      <c r="AH185">
        <f>Table1[[#This Row],[Clothing and footwear]]</f>
        <v>147.80000000000001</v>
      </c>
      <c r="AI185">
        <v>141.30000000000001</v>
      </c>
      <c r="AJ185">
        <v>142.4</v>
      </c>
      <c r="AK185">
        <f>AVERAGE(Table1[[#This Row],[Household goods and services]],Table1[[#This Row],[Personal care and effects]])</f>
        <v>134.35000000000002</v>
      </c>
      <c r="AL185">
        <f>Table1[[#This Row],[Health]]</f>
        <v>136.19999999999999</v>
      </c>
      <c r="AM185">
        <v>123.3</v>
      </c>
      <c r="AN185">
        <f>AVERAGE(Table1[[#This Row],[Education]],Table1[[#This Row],[Recreation and amusement]])</f>
        <v>137.9</v>
      </c>
      <c r="AO185">
        <f>Table1[[#This Row],[Miscellaneous]]</f>
        <v>132.5</v>
      </c>
      <c r="AP185" t="str">
        <f t="shared" si="5"/>
        <v>Pre-COVID</v>
      </c>
    </row>
    <row r="186" spans="1:42" x14ac:dyDescent="0.25">
      <c r="A186" t="s">
        <v>33</v>
      </c>
      <c r="B186">
        <v>2018</v>
      </c>
      <c r="C186" t="s">
        <v>35</v>
      </c>
      <c r="D186" s="3">
        <f>DATE(B186,MATCH(C186,{"January","February","March","April","May","June","July","August","September","October","November","December"},0),1)</f>
        <v>43132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  <c r="AF186">
        <f t="shared" si="4"/>
        <v>132.91538461538462</v>
      </c>
      <c r="AG186">
        <v>159.30000000000001</v>
      </c>
      <c r="AH186">
        <f>Table1[[#This Row],[Clothing and footwear]]</f>
        <v>134.69999999999999</v>
      </c>
      <c r="AI186">
        <v>141.30000000000001</v>
      </c>
      <c r="AJ186">
        <v>127.3</v>
      </c>
      <c r="AK186">
        <f>AVERAGE(Table1[[#This Row],[Household goods and services]],Table1[[#This Row],[Personal care and effects]])</f>
        <v>128.05000000000001</v>
      </c>
      <c r="AL186">
        <f>Table1[[#This Row],[Health]]</f>
        <v>129.80000000000001</v>
      </c>
      <c r="AM186">
        <v>117.4</v>
      </c>
      <c r="AN186">
        <f>AVERAGE(Table1[[#This Row],[Education]],Table1[[#This Row],[Recreation and amusement]])</f>
        <v>131.85</v>
      </c>
      <c r="AO186">
        <f>Table1[[#This Row],[Miscellaneous]]</f>
        <v>126.5</v>
      </c>
      <c r="AP186" t="str">
        <f t="shared" si="5"/>
        <v>Pre-COVID</v>
      </c>
    </row>
    <row r="187" spans="1:42" x14ac:dyDescent="0.25">
      <c r="A187" t="s">
        <v>34</v>
      </c>
      <c r="B187">
        <v>2018</v>
      </c>
      <c r="C187" t="s">
        <v>35</v>
      </c>
      <c r="D187" s="3">
        <f>DATE(B187,MATCH(C187,{"January","February","March","April","May","June","July","August","September","October","November","December"},0),1)</f>
        <v>43132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  <c r="AF187">
        <f t="shared" si="4"/>
        <v>135.4153846153846</v>
      </c>
      <c r="AG187">
        <v>154.9</v>
      </c>
      <c r="AH187">
        <f>Table1[[#This Row],[Clothing and footwear]]</f>
        <v>142.6</v>
      </c>
      <c r="AI187">
        <v>141.30000000000001</v>
      </c>
      <c r="AJ187">
        <v>136.69999999999999</v>
      </c>
      <c r="AK187">
        <f>AVERAGE(Table1[[#This Row],[Household goods and services]],Table1[[#This Row],[Personal care and effects]])</f>
        <v>131.44999999999999</v>
      </c>
      <c r="AL187">
        <f>Table1[[#This Row],[Health]]</f>
        <v>133.80000000000001</v>
      </c>
      <c r="AM187">
        <v>120.2</v>
      </c>
      <c r="AN187">
        <f>AVERAGE(Table1[[#This Row],[Education]],Table1[[#This Row],[Recreation and amusement]])</f>
        <v>134.44999999999999</v>
      </c>
      <c r="AO187">
        <f>Table1[[#This Row],[Miscellaneous]]</f>
        <v>129.6</v>
      </c>
      <c r="AP187" t="str">
        <f t="shared" si="5"/>
        <v>Pre-COVID</v>
      </c>
    </row>
    <row r="188" spans="1:42" x14ac:dyDescent="0.25">
      <c r="A188" t="s">
        <v>30</v>
      </c>
      <c r="B188">
        <v>2018</v>
      </c>
      <c r="C188" t="s">
        <v>36</v>
      </c>
      <c r="D188" s="3">
        <f>DATE(B188,MATCH(C188,{"January","February","March","April","May","June","July","August","September","October","November","December"},0),1)</f>
        <v>43160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>
        <v>142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  <c r="AF188">
        <f t="shared" si="4"/>
        <v>137.07692307692307</v>
      </c>
      <c r="AG188">
        <v>155.1</v>
      </c>
      <c r="AH188">
        <f>Table1[[#This Row],[Clothing and footwear]]</f>
        <v>148.30000000000001</v>
      </c>
      <c r="AI188">
        <v>142</v>
      </c>
      <c r="AJ188">
        <v>142.6</v>
      </c>
      <c r="AK188">
        <f>AVERAGE(Table1[[#This Row],[Household goods and services]],Table1[[#This Row],[Personal care and effects]])</f>
        <v>134.60000000000002</v>
      </c>
      <c r="AL188">
        <f>Table1[[#This Row],[Health]]</f>
        <v>136.69999999999999</v>
      </c>
      <c r="AM188">
        <v>124.6</v>
      </c>
      <c r="AN188">
        <f>AVERAGE(Table1[[#This Row],[Education]],Table1[[#This Row],[Recreation and amusement]])</f>
        <v>138.89999999999998</v>
      </c>
      <c r="AO188">
        <f>Table1[[#This Row],[Miscellaneous]]</f>
        <v>133.30000000000001</v>
      </c>
      <c r="AP188" t="str">
        <f t="shared" si="5"/>
        <v>Pre-COVID</v>
      </c>
    </row>
    <row r="189" spans="1:42" x14ac:dyDescent="0.25">
      <c r="A189" t="s">
        <v>33</v>
      </c>
      <c r="B189">
        <v>2018</v>
      </c>
      <c r="C189" t="s">
        <v>36</v>
      </c>
      <c r="D189" s="3">
        <f>DATE(B189,MATCH(C189,{"January","February","March","April","May","June","July","August","September","October","November","December"},0),1)</f>
        <v>43160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  <c r="AF189">
        <f t="shared" si="4"/>
        <v>131.96153846153845</v>
      </c>
      <c r="AG189">
        <v>159.69999999999999</v>
      </c>
      <c r="AH189">
        <f>Table1[[#This Row],[Clothing and footwear]]</f>
        <v>135.19999999999999</v>
      </c>
      <c r="AI189">
        <v>142</v>
      </c>
      <c r="AJ189">
        <v>126.4</v>
      </c>
      <c r="AK189">
        <f>AVERAGE(Table1[[#This Row],[Household goods and services]],Table1[[#This Row],[Personal care and effects]])</f>
        <v>128.75</v>
      </c>
      <c r="AL189">
        <f>Table1[[#This Row],[Health]]</f>
        <v>130.5</v>
      </c>
      <c r="AM189">
        <v>117.8</v>
      </c>
      <c r="AN189">
        <f>AVERAGE(Table1[[#This Row],[Education]],Table1[[#This Row],[Recreation and amusement]])</f>
        <v>132.30000000000001</v>
      </c>
      <c r="AO189">
        <f>Table1[[#This Row],[Miscellaneous]]</f>
        <v>127.1</v>
      </c>
      <c r="AP189" t="str">
        <f t="shared" si="5"/>
        <v>Pre-COVID</v>
      </c>
    </row>
    <row r="190" spans="1:42" x14ac:dyDescent="0.25">
      <c r="A190" t="s">
        <v>34</v>
      </c>
      <c r="B190">
        <v>2018</v>
      </c>
      <c r="C190" t="s">
        <v>36</v>
      </c>
      <c r="D190" s="3">
        <f>DATE(B190,MATCH(C190,{"January","February","March","April","May","June","July","August","September","October","November","December"},0),1)</f>
        <v>43160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  <c r="AF190">
        <f t="shared" si="4"/>
        <v>135.07692307692307</v>
      </c>
      <c r="AG190">
        <v>156.30000000000001</v>
      </c>
      <c r="AH190">
        <f>Table1[[#This Row],[Clothing and footwear]]</f>
        <v>143.1</v>
      </c>
      <c r="AI190">
        <v>142</v>
      </c>
      <c r="AJ190">
        <v>136.5</v>
      </c>
      <c r="AK190">
        <f>AVERAGE(Table1[[#This Row],[Household goods and services]],Table1[[#This Row],[Personal care and effects]])</f>
        <v>131.89999999999998</v>
      </c>
      <c r="AL190">
        <f>Table1[[#This Row],[Health]]</f>
        <v>134.30000000000001</v>
      </c>
      <c r="AM190">
        <v>121</v>
      </c>
      <c r="AN190">
        <f>AVERAGE(Table1[[#This Row],[Education]],Table1[[#This Row],[Recreation and amusement]])</f>
        <v>135.10000000000002</v>
      </c>
      <c r="AO190">
        <f>Table1[[#This Row],[Miscellaneous]]</f>
        <v>130.30000000000001</v>
      </c>
      <c r="AP190" t="str">
        <f t="shared" si="5"/>
        <v>Pre-COVID</v>
      </c>
    </row>
    <row r="191" spans="1:42" x14ac:dyDescent="0.25">
      <c r="A191" t="s">
        <v>30</v>
      </c>
      <c r="B191">
        <v>2018</v>
      </c>
      <c r="C191" t="s">
        <v>37</v>
      </c>
      <c r="D191" s="3">
        <f>DATE(B191,MATCH(C191,{"January","February","March","April","May","June","July","August","September","October","November","December"},0),1)</f>
        <v>43191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>
        <v>142.9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  <c r="AF191">
        <f t="shared" si="4"/>
        <v>136.92307692307693</v>
      </c>
      <c r="AG191">
        <v>156.1</v>
      </c>
      <c r="AH191">
        <f>Table1[[#This Row],[Clothing and footwear]]</f>
        <v>149.1</v>
      </c>
      <c r="AI191">
        <v>142.9</v>
      </c>
      <c r="AJ191">
        <v>143.80000000000001</v>
      </c>
      <c r="AK191">
        <f>AVERAGE(Table1[[#This Row],[Household goods and services]],Table1[[#This Row],[Personal care and effects]])</f>
        <v>135.65</v>
      </c>
      <c r="AL191">
        <f>Table1[[#This Row],[Health]]</f>
        <v>137.6</v>
      </c>
      <c r="AM191">
        <v>125.3</v>
      </c>
      <c r="AN191">
        <f>AVERAGE(Table1[[#This Row],[Education]],Table1[[#This Row],[Recreation and amusement]])</f>
        <v>139.85</v>
      </c>
      <c r="AO191">
        <f>Table1[[#This Row],[Miscellaneous]]</f>
        <v>134.19999999999999</v>
      </c>
      <c r="AP191" t="str">
        <f t="shared" si="5"/>
        <v>Pre-COVID</v>
      </c>
    </row>
    <row r="192" spans="1:42" x14ac:dyDescent="0.25">
      <c r="A192" t="s">
        <v>33</v>
      </c>
      <c r="B192">
        <v>2018</v>
      </c>
      <c r="C192" t="s">
        <v>37</v>
      </c>
      <c r="D192" s="3">
        <f>DATE(B192,MATCH(C192,{"January","February","March","April","May","June","July","August","September","October","November","December"},0),1)</f>
        <v>43191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  <c r="AF192">
        <f t="shared" si="4"/>
        <v>132.30769230769232</v>
      </c>
      <c r="AG192">
        <v>159.19999999999999</v>
      </c>
      <c r="AH192">
        <f>Table1[[#This Row],[Clothing and footwear]]</f>
        <v>136.19999999999999</v>
      </c>
      <c r="AI192">
        <v>142.9</v>
      </c>
      <c r="AJ192">
        <v>124.6</v>
      </c>
      <c r="AK192">
        <f>AVERAGE(Table1[[#This Row],[Household goods and services]],Table1[[#This Row],[Personal care and effects]])</f>
        <v>129.69999999999999</v>
      </c>
      <c r="AL192">
        <f>Table1[[#This Row],[Health]]</f>
        <v>131.30000000000001</v>
      </c>
      <c r="AM192">
        <v>118.9</v>
      </c>
      <c r="AN192">
        <f>AVERAGE(Table1[[#This Row],[Education]],Table1[[#This Row],[Recreation and amusement]])</f>
        <v>133.64999999999998</v>
      </c>
      <c r="AO192">
        <f>Table1[[#This Row],[Miscellaneous]]</f>
        <v>128.19999999999999</v>
      </c>
      <c r="AP192" t="str">
        <f t="shared" si="5"/>
        <v>Pre-COVID</v>
      </c>
    </row>
    <row r="193" spans="1:42" x14ac:dyDescent="0.25">
      <c r="A193" t="s">
        <v>34</v>
      </c>
      <c r="B193">
        <v>2018</v>
      </c>
      <c r="C193" t="s">
        <v>37</v>
      </c>
      <c r="D193" s="3">
        <f>DATE(B193,MATCH(C193,{"January","February","March","April","May","June","July","August","September","October","November","December"},0),1)</f>
        <v>43191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  <c r="AF193">
        <f t="shared" si="4"/>
        <v>135.16153846153847</v>
      </c>
      <c r="AG193">
        <v>156.9</v>
      </c>
      <c r="AH193">
        <f>Table1[[#This Row],[Clothing and footwear]]</f>
        <v>144</v>
      </c>
      <c r="AI193">
        <v>142.9</v>
      </c>
      <c r="AJ193">
        <v>136.5</v>
      </c>
      <c r="AK193">
        <f>AVERAGE(Table1[[#This Row],[Household goods and services]],Table1[[#This Row],[Personal care and effects]])</f>
        <v>132.89999999999998</v>
      </c>
      <c r="AL193">
        <f>Table1[[#This Row],[Health]]</f>
        <v>135.19999999999999</v>
      </c>
      <c r="AM193">
        <v>121.9</v>
      </c>
      <c r="AN193">
        <f>AVERAGE(Table1[[#This Row],[Education]],Table1[[#This Row],[Recreation and amusement]])</f>
        <v>136.35000000000002</v>
      </c>
      <c r="AO193">
        <f>Table1[[#This Row],[Miscellaneous]]</f>
        <v>131.30000000000001</v>
      </c>
      <c r="AP193" t="str">
        <f t="shared" si="5"/>
        <v>Pre-COVID</v>
      </c>
    </row>
    <row r="194" spans="1:42" x14ac:dyDescent="0.25">
      <c r="A194" t="s">
        <v>30</v>
      </c>
      <c r="B194">
        <v>2018</v>
      </c>
      <c r="C194" t="s">
        <v>38</v>
      </c>
      <c r="D194" s="3">
        <f>DATE(B194,MATCH(C194,{"January","February","March","April","May","June","July","August","September","October","November","December"},0),1)</f>
        <v>43221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>
        <v>143.19999999999999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  <c r="AF194">
        <f t="shared" ref="AF194:AF257" si="6">AVERAGE(E194:Q194)</f>
        <v>137.1076923076923</v>
      </c>
      <c r="AG194">
        <v>157</v>
      </c>
      <c r="AH194">
        <f>Table1[[#This Row],[Clothing and footwear]]</f>
        <v>149.80000000000001</v>
      </c>
      <c r="AI194">
        <v>143.19999999999999</v>
      </c>
      <c r="AJ194">
        <v>144.30000000000001</v>
      </c>
      <c r="AK194">
        <f>AVERAGE(Table1[[#This Row],[Household goods and services]],Table1[[#This Row],[Personal care and effects]])</f>
        <v>136.5</v>
      </c>
      <c r="AL194">
        <f>Table1[[#This Row],[Health]]</f>
        <v>138.4</v>
      </c>
      <c r="AM194">
        <v>126.4</v>
      </c>
      <c r="AN194">
        <f>AVERAGE(Table1[[#This Row],[Education]],Table1[[#This Row],[Recreation and amusement]])</f>
        <v>140.60000000000002</v>
      </c>
      <c r="AO194">
        <f>Table1[[#This Row],[Miscellaneous]]</f>
        <v>135.1</v>
      </c>
      <c r="AP194" t="str">
        <f t="shared" ref="AP194:AP257" si="7">IF(D194&lt;DATE(2020,3,1),"Pre-COVID",IF(D194=DATE(2020,3,1),"COVID Onset",IF(D194&lt;=DATE(2020,5,31),"Lockdown","Post-COVID")))</f>
        <v>Pre-COVID</v>
      </c>
    </row>
    <row r="195" spans="1:42" x14ac:dyDescent="0.25">
      <c r="A195" t="s">
        <v>33</v>
      </c>
      <c r="B195">
        <v>2018</v>
      </c>
      <c r="C195" t="s">
        <v>38</v>
      </c>
      <c r="D195" s="3">
        <f>DATE(B195,MATCH(C195,{"January","February","March","April","May","June","July","August","September","October","November","December"},0),1)</f>
        <v>43221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  <c r="AF195">
        <f t="shared" si="6"/>
        <v>132.53076923076921</v>
      </c>
      <c r="AG195">
        <v>160.30000000000001</v>
      </c>
      <c r="AH195">
        <f>Table1[[#This Row],[Clothing and footwear]]</f>
        <v>137</v>
      </c>
      <c r="AI195">
        <v>143.19999999999999</v>
      </c>
      <c r="AJ195">
        <v>124.7</v>
      </c>
      <c r="AK195">
        <f>AVERAGE(Table1[[#This Row],[Household goods and services]],Table1[[#This Row],[Personal care and effects]])</f>
        <v>130.30000000000001</v>
      </c>
      <c r="AL195">
        <f>Table1[[#This Row],[Health]]</f>
        <v>132</v>
      </c>
      <c r="AM195">
        <v>119.8</v>
      </c>
      <c r="AN195">
        <f>AVERAGE(Table1[[#This Row],[Education]],Table1[[#This Row],[Recreation and amusement]])</f>
        <v>134.19999999999999</v>
      </c>
      <c r="AO195">
        <f>Table1[[#This Row],[Miscellaneous]]</f>
        <v>128.9</v>
      </c>
      <c r="AP195" t="str">
        <f t="shared" si="7"/>
        <v>Pre-COVID</v>
      </c>
    </row>
    <row r="196" spans="1:42" x14ac:dyDescent="0.25">
      <c r="A196" t="s">
        <v>34</v>
      </c>
      <c r="B196">
        <v>2018</v>
      </c>
      <c r="C196" t="s">
        <v>38</v>
      </c>
      <c r="D196" s="3">
        <f>DATE(B196,MATCH(C196,{"January","February","March","April","May","June","July","August","September","October","November","December"},0),1)</f>
        <v>43221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  <c r="AF196">
        <f t="shared" si="6"/>
        <v>135.36923076923077</v>
      </c>
      <c r="AG196">
        <v>157.9</v>
      </c>
      <c r="AH196">
        <f>Table1[[#This Row],[Clothing and footwear]]</f>
        <v>144.69999999999999</v>
      </c>
      <c r="AI196">
        <v>143.19999999999999</v>
      </c>
      <c r="AJ196">
        <v>136.9</v>
      </c>
      <c r="AK196">
        <f>AVERAGE(Table1[[#This Row],[Household goods and services]],Table1[[#This Row],[Personal care and effects]])</f>
        <v>133.65</v>
      </c>
      <c r="AL196">
        <f>Table1[[#This Row],[Health]]</f>
        <v>136</v>
      </c>
      <c r="AM196">
        <v>122.9</v>
      </c>
      <c r="AN196">
        <f>AVERAGE(Table1[[#This Row],[Education]],Table1[[#This Row],[Recreation and amusement]])</f>
        <v>136.94999999999999</v>
      </c>
      <c r="AO196">
        <f>Table1[[#This Row],[Miscellaneous]]</f>
        <v>132.1</v>
      </c>
      <c r="AP196" t="str">
        <f t="shared" si="7"/>
        <v>Pre-COVID</v>
      </c>
    </row>
    <row r="197" spans="1:42" x14ac:dyDescent="0.25">
      <c r="A197" t="s">
        <v>30</v>
      </c>
      <c r="B197">
        <v>2018</v>
      </c>
      <c r="C197" t="s">
        <v>39</v>
      </c>
      <c r="D197" s="3">
        <f>DATE(B197,MATCH(C197,{"January","February","March","April","May","June","July","August","September","October","November","December"},0),1)</f>
        <v>43252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>
        <v>142.5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  <c r="AF197">
        <f t="shared" si="6"/>
        <v>137.71538461538461</v>
      </c>
      <c r="AG197">
        <v>157.30000000000001</v>
      </c>
      <c r="AH197">
        <f>Table1[[#This Row],[Clothing and footwear]]</f>
        <v>150.30000000000001</v>
      </c>
      <c r="AI197">
        <v>142.5</v>
      </c>
      <c r="AJ197">
        <v>145.1</v>
      </c>
      <c r="AK197">
        <f>AVERAGE(Table1[[#This Row],[Household goods and services]],Table1[[#This Row],[Personal care and effects]])</f>
        <v>136.80000000000001</v>
      </c>
      <c r="AL197">
        <f>Table1[[#This Row],[Health]]</f>
        <v>138.4</v>
      </c>
      <c r="AM197">
        <v>127.4</v>
      </c>
      <c r="AN197">
        <f>AVERAGE(Table1[[#This Row],[Education]],Table1[[#This Row],[Recreation and amusement]])</f>
        <v>141.44999999999999</v>
      </c>
      <c r="AO197">
        <f>Table1[[#This Row],[Miscellaneous]]</f>
        <v>135.6</v>
      </c>
      <c r="AP197" t="str">
        <f t="shared" si="7"/>
        <v>Pre-COVID</v>
      </c>
    </row>
    <row r="198" spans="1:42" x14ac:dyDescent="0.25">
      <c r="A198" t="s">
        <v>33</v>
      </c>
      <c r="B198">
        <v>2018</v>
      </c>
      <c r="C198" t="s">
        <v>39</v>
      </c>
      <c r="D198" s="3">
        <f>DATE(B198,MATCH(C198,{"January","February","March","April","May","June","July","August","September","October","November","December"},0),1)</f>
        <v>43252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  <c r="AF198">
        <f t="shared" si="6"/>
        <v>134.40769230769232</v>
      </c>
      <c r="AG198">
        <v>161</v>
      </c>
      <c r="AH198">
        <f>Table1[[#This Row],[Clothing and footwear]]</f>
        <v>137.4</v>
      </c>
      <c r="AI198">
        <v>142.5</v>
      </c>
      <c r="AJ198">
        <v>126.5</v>
      </c>
      <c r="AK198">
        <f>AVERAGE(Table1[[#This Row],[Household goods and services]],Table1[[#This Row],[Personal care and effects]])</f>
        <v>130.64999999999998</v>
      </c>
      <c r="AL198">
        <f>Table1[[#This Row],[Health]]</f>
        <v>132.6</v>
      </c>
      <c r="AM198">
        <v>120.4</v>
      </c>
      <c r="AN198">
        <f>AVERAGE(Table1[[#This Row],[Education]],Table1[[#This Row],[Recreation and amusement]])</f>
        <v>134.85</v>
      </c>
      <c r="AO198">
        <f>Table1[[#This Row],[Miscellaneous]]</f>
        <v>129.5</v>
      </c>
      <c r="AP198" t="str">
        <f t="shared" si="7"/>
        <v>Pre-COVID</v>
      </c>
    </row>
    <row r="199" spans="1:42" x14ac:dyDescent="0.25">
      <c r="A199" t="s">
        <v>34</v>
      </c>
      <c r="B199">
        <v>2018</v>
      </c>
      <c r="C199" t="s">
        <v>39</v>
      </c>
      <c r="D199" s="3">
        <f>DATE(B199,MATCH(C199,{"January","February","March","April","May","June","July","August","September","October","November","December"},0),1)</f>
        <v>43252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  <c r="AF199">
        <f t="shared" si="6"/>
        <v>136.46923076923079</v>
      </c>
      <c r="AG199">
        <v>158.30000000000001</v>
      </c>
      <c r="AH199">
        <f>Table1[[#This Row],[Clothing and footwear]]</f>
        <v>145.19999999999999</v>
      </c>
      <c r="AI199">
        <v>142.5</v>
      </c>
      <c r="AJ199">
        <v>138.1</v>
      </c>
      <c r="AK199">
        <f>AVERAGE(Table1[[#This Row],[Household goods and services]],Table1[[#This Row],[Personal care and effects]])</f>
        <v>134</v>
      </c>
      <c r="AL199">
        <f>Table1[[#This Row],[Health]]</f>
        <v>136.19999999999999</v>
      </c>
      <c r="AM199">
        <v>123.7</v>
      </c>
      <c r="AN199">
        <f>AVERAGE(Table1[[#This Row],[Education]],Table1[[#This Row],[Recreation and amusement]])</f>
        <v>137.69999999999999</v>
      </c>
      <c r="AO199">
        <f>Table1[[#This Row],[Miscellaneous]]</f>
        <v>132.6</v>
      </c>
      <c r="AP199" t="str">
        <f t="shared" si="7"/>
        <v>Pre-COVID</v>
      </c>
    </row>
    <row r="200" spans="1:42" x14ac:dyDescent="0.25">
      <c r="A200" t="s">
        <v>30</v>
      </c>
      <c r="B200">
        <v>2018</v>
      </c>
      <c r="C200" t="s">
        <v>40</v>
      </c>
      <c r="D200" s="3">
        <f>DATE(B200,MATCH(C200,{"January","February","March","April","May","June","July","August","September","October","November","December"},0),1)</f>
        <v>43282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>
        <v>143.6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  <c r="AF200">
        <f t="shared" si="6"/>
        <v>139.26923076923077</v>
      </c>
      <c r="AG200">
        <v>156.1</v>
      </c>
      <c r="AH200">
        <f>Table1[[#This Row],[Clothing and footwear]]</f>
        <v>150.6</v>
      </c>
      <c r="AI200">
        <v>143.6</v>
      </c>
      <c r="AJ200">
        <v>146.80000000000001</v>
      </c>
      <c r="AK200">
        <f>AVERAGE(Table1[[#This Row],[Household goods and services]],Table1[[#This Row],[Personal care and effects]])</f>
        <v>137.25</v>
      </c>
      <c r="AL200">
        <f>Table1[[#This Row],[Health]]</f>
        <v>139</v>
      </c>
      <c r="AM200">
        <v>127.5</v>
      </c>
      <c r="AN200">
        <f>AVERAGE(Table1[[#This Row],[Education]],Table1[[#This Row],[Recreation and amusement]])</f>
        <v>142.10000000000002</v>
      </c>
      <c r="AO200">
        <f>Table1[[#This Row],[Miscellaneous]]</f>
        <v>136</v>
      </c>
      <c r="AP200" t="str">
        <f t="shared" si="7"/>
        <v>Pre-COVID</v>
      </c>
    </row>
    <row r="201" spans="1:42" x14ac:dyDescent="0.25">
      <c r="A201" t="s">
        <v>33</v>
      </c>
      <c r="B201">
        <v>2018</v>
      </c>
      <c r="C201" t="s">
        <v>40</v>
      </c>
      <c r="D201" s="3">
        <f>DATE(B201,MATCH(C201,{"January","February","March","April","May","June","July","August","September","October","November","December"},0),1)</f>
        <v>43282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  <c r="AF201">
        <f t="shared" si="6"/>
        <v>136.23846153846154</v>
      </c>
      <c r="AG201">
        <v>161.4</v>
      </c>
      <c r="AH201">
        <f>Table1[[#This Row],[Clothing and footwear]]</f>
        <v>137.9</v>
      </c>
      <c r="AI201">
        <v>143.6</v>
      </c>
      <c r="AJ201">
        <v>128.1</v>
      </c>
      <c r="AK201">
        <f>AVERAGE(Table1[[#This Row],[Household goods and services]],Table1[[#This Row],[Personal care and effects]])</f>
        <v>130.89999999999998</v>
      </c>
      <c r="AL201">
        <f>Table1[[#This Row],[Health]]</f>
        <v>133.6</v>
      </c>
      <c r="AM201">
        <v>120.1</v>
      </c>
      <c r="AN201">
        <f>AVERAGE(Table1[[#This Row],[Education]],Table1[[#This Row],[Recreation and amusement]])</f>
        <v>136.5</v>
      </c>
      <c r="AO201">
        <f>Table1[[#This Row],[Miscellaneous]]</f>
        <v>130.19999999999999</v>
      </c>
      <c r="AP201" t="str">
        <f t="shared" si="7"/>
        <v>Pre-COVID</v>
      </c>
    </row>
    <row r="202" spans="1:42" x14ac:dyDescent="0.25">
      <c r="A202" t="s">
        <v>34</v>
      </c>
      <c r="B202">
        <v>2018</v>
      </c>
      <c r="C202" t="s">
        <v>40</v>
      </c>
      <c r="D202" s="3">
        <f>DATE(B202,MATCH(C202,{"January","February","March","April","May","June","July","August","September","October","November","December"},0),1)</f>
        <v>43282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  <c r="AF202">
        <f t="shared" si="6"/>
        <v>138.1</v>
      </c>
      <c r="AG202">
        <v>157.5</v>
      </c>
      <c r="AH202">
        <f>Table1[[#This Row],[Clothing and footwear]]</f>
        <v>145.6</v>
      </c>
      <c r="AI202">
        <v>143.6</v>
      </c>
      <c r="AJ202">
        <v>139.69999999999999</v>
      </c>
      <c r="AK202">
        <f>AVERAGE(Table1[[#This Row],[Household goods and services]],Table1[[#This Row],[Personal care and effects]])</f>
        <v>134.35</v>
      </c>
      <c r="AL202">
        <f>Table1[[#This Row],[Health]]</f>
        <v>137</v>
      </c>
      <c r="AM202">
        <v>123.6</v>
      </c>
      <c r="AN202">
        <f>AVERAGE(Table1[[#This Row],[Education]],Table1[[#This Row],[Recreation and amusement]])</f>
        <v>138.89999999999998</v>
      </c>
      <c r="AO202">
        <f>Table1[[#This Row],[Miscellaneous]]</f>
        <v>133.19999999999999</v>
      </c>
      <c r="AP202" t="str">
        <f t="shared" si="7"/>
        <v>Pre-COVID</v>
      </c>
    </row>
    <row r="203" spans="1:42" x14ac:dyDescent="0.25">
      <c r="A203" t="s">
        <v>30</v>
      </c>
      <c r="B203">
        <v>2018</v>
      </c>
      <c r="C203" t="s">
        <v>41</v>
      </c>
      <c r="D203" s="3">
        <f>DATE(B203,MATCH(C203,{"January","February","March","April","May","June","July","August","September","October","November","December"},0),1)</f>
        <v>43313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>
        <v>144.6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  <c r="AF203">
        <f t="shared" si="6"/>
        <v>139.90769230769232</v>
      </c>
      <c r="AG203">
        <v>156.4</v>
      </c>
      <c r="AH203">
        <f>Table1[[#This Row],[Clothing and footwear]]</f>
        <v>151.30000000000001</v>
      </c>
      <c r="AI203">
        <v>144.6</v>
      </c>
      <c r="AJ203">
        <v>147.69999999999999</v>
      </c>
      <c r="AK203">
        <f>AVERAGE(Table1[[#This Row],[Household goods and services]],Table1[[#This Row],[Personal care and effects]])</f>
        <v>137.55000000000001</v>
      </c>
      <c r="AL203">
        <f>Table1[[#This Row],[Health]]</f>
        <v>139.4</v>
      </c>
      <c r="AM203">
        <v>128.30000000000001</v>
      </c>
      <c r="AN203">
        <f>AVERAGE(Table1[[#This Row],[Education]],Table1[[#This Row],[Recreation and amusement]])</f>
        <v>142.75</v>
      </c>
      <c r="AO203">
        <f>Table1[[#This Row],[Miscellaneous]]</f>
        <v>136.6</v>
      </c>
      <c r="AP203" t="str">
        <f t="shared" si="7"/>
        <v>Pre-COVID</v>
      </c>
    </row>
    <row r="204" spans="1:42" x14ac:dyDescent="0.25">
      <c r="A204" t="s">
        <v>33</v>
      </c>
      <c r="B204">
        <v>2018</v>
      </c>
      <c r="C204" t="s">
        <v>41</v>
      </c>
      <c r="D204" s="3">
        <f>DATE(B204,MATCH(C204,{"January","February","March","April","May","June","July","August","September","October","November","December"},0),1)</f>
        <v>43313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  <c r="AF204">
        <f t="shared" si="6"/>
        <v>135.96923076923076</v>
      </c>
      <c r="AG204">
        <v>162.1</v>
      </c>
      <c r="AH204">
        <f>Table1[[#This Row],[Clothing and footwear]]</f>
        <v>138.30000000000001</v>
      </c>
      <c r="AI204">
        <v>144.6</v>
      </c>
      <c r="AJ204">
        <v>129.80000000000001</v>
      </c>
      <c r="AK204">
        <f>AVERAGE(Table1[[#This Row],[Household goods and services]],Table1[[#This Row],[Personal care and effects]])</f>
        <v>131.35000000000002</v>
      </c>
      <c r="AL204">
        <f>Table1[[#This Row],[Health]]</f>
        <v>134.9</v>
      </c>
      <c r="AM204">
        <v>120.7</v>
      </c>
      <c r="AN204">
        <f>AVERAGE(Table1[[#This Row],[Education]],Table1[[#This Row],[Recreation and amusement]])</f>
        <v>137.55000000000001</v>
      </c>
      <c r="AO204">
        <f>Table1[[#This Row],[Miscellaneous]]</f>
        <v>131</v>
      </c>
      <c r="AP204" t="str">
        <f t="shared" si="7"/>
        <v>Pre-COVID</v>
      </c>
    </row>
    <row r="205" spans="1:42" x14ac:dyDescent="0.25">
      <c r="A205" t="s">
        <v>34</v>
      </c>
      <c r="B205">
        <v>2018</v>
      </c>
      <c r="C205" t="s">
        <v>41</v>
      </c>
      <c r="D205" s="3">
        <f>DATE(B205,MATCH(C205,{"January","February","March","April","May","June","July","August","September","October","November","December"},0),1)</f>
        <v>43313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  <c r="AF205">
        <f t="shared" si="6"/>
        <v>138.36153846153849</v>
      </c>
      <c r="AG205">
        <v>157.9</v>
      </c>
      <c r="AH205">
        <f>Table1[[#This Row],[Clothing and footwear]]</f>
        <v>146.1</v>
      </c>
      <c r="AI205">
        <v>144.6</v>
      </c>
      <c r="AJ205">
        <v>140.9</v>
      </c>
      <c r="AK205">
        <f>AVERAGE(Table1[[#This Row],[Household goods and services]],Table1[[#This Row],[Personal care and effects]])</f>
        <v>134.75</v>
      </c>
      <c r="AL205">
        <f>Table1[[#This Row],[Health]]</f>
        <v>137.69999999999999</v>
      </c>
      <c r="AM205">
        <v>124.3</v>
      </c>
      <c r="AN205">
        <f>AVERAGE(Table1[[#This Row],[Education]],Table1[[#This Row],[Recreation and amusement]])</f>
        <v>139.80000000000001</v>
      </c>
      <c r="AO205">
        <f>Table1[[#This Row],[Miscellaneous]]</f>
        <v>133.9</v>
      </c>
      <c r="AP205" t="str">
        <f t="shared" si="7"/>
        <v>Pre-COVID</v>
      </c>
    </row>
    <row r="206" spans="1:42" x14ac:dyDescent="0.25">
      <c r="A206" t="s">
        <v>30</v>
      </c>
      <c r="B206">
        <v>2018</v>
      </c>
      <c r="C206" t="s">
        <v>42</v>
      </c>
      <c r="D206" s="3">
        <f>DATE(B206,MATCH(C206,{"January","February","March","April","May","June","July","August","September","October","November","December"},0),1)</f>
        <v>43344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>
        <v>145.30000000000001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  <c r="AF206">
        <f t="shared" si="6"/>
        <v>138.44615384615386</v>
      </c>
      <c r="AG206">
        <v>157.69999999999999</v>
      </c>
      <c r="AH206">
        <f>Table1[[#This Row],[Clothing and footwear]]</f>
        <v>151.30000000000001</v>
      </c>
      <c r="AI206">
        <v>145.30000000000001</v>
      </c>
      <c r="AJ206">
        <v>149</v>
      </c>
      <c r="AK206">
        <f>AVERAGE(Table1[[#This Row],[Household goods and services]],Table1[[#This Row],[Personal care and effects]])</f>
        <v>138</v>
      </c>
      <c r="AL206">
        <f>Table1[[#This Row],[Health]]</f>
        <v>140</v>
      </c>
      <c r="AM206">
        <v>129.9</v>
      </c>
      <c r="AN206">
        <f>AVERAGE(Table1[[#This Row],[Education]],Table1[[#This Row],[Recreation and amusement]])</f>
        <v>143.80000000000001</v>
      </c>
      <c r="AO206">
        <f>Table1[[#This Row],[Miscellaneous]]</f>
        <v>137.4</v>
      </c>
      <c r="AP206" t="str">
        <f t="shared" si="7"/>
        <v>Pre-COVID</v>
      </c>
    </row>
    <row r="207" spans="1:42" x14ac:dyDescent="0.25">
      <c r="A207" t="s">
        <v>33</v>
      </c>
      <c r="B207">
        <v>2018</v>
      </c>
      <c r="C207" t="s">
        <v>42</v>
      </c>
      <c r="D207" s="3">
        <f>DATE(B207,MATCH(C207,{"January","February","March","April","May","June","July","August","September","October","November","December"},0),1)</f>
        <v>43344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  <c r="AF207">
        <f t="shared" si="6"/>
        <v>134.49230769230769</v>
      </c>
      <c r="AG207">
        <v>163.30000000000001</v>
      </c>
      <c r="AH207">
        <f>Table1[[#This Row],[Clothing and footwear]]</f>
        <v>139.1</v>
      </c>
      <c r="AI207">
        <v>145.30000000000001</v>
      </c>
      <c r="AJ207">
        <v>131.19999999999999</v>
      </c>
      <c r="AK207">
        <f>AVERAGE(Table1[[#This Row],[Household goods and services]],Table1[[#This Row],[Personal care and effects]])</f>
        <v>132.10000000000002</v>
      </c>
      <c r="AL207">
        <f>Table1[[#This Row],[Health]]</f>
        <v>135.69999999999999</v>
      </c>
      <c r="AM207">
        <v>122.5</v>
      </c>
      <c r="AN207">
        <f>AVERAGE(Table1[[#This Row],[Education]],Table1[[#This Row],[Recreation and amusement]])</f>
        <v>137.69999999999999</v>
      </c>
      <c r="AO207">
        <f>Table1[[#This Row],[Miscellaneous]]</f>
        <v>131.9</v>
      </c>
      <c r="AP207" t="str">
        <f t="shared" si="7"/>
        <v>Pre-COVID</v>
      </c>
    </row>
    <row r="208" spans="1:42" x14ac:dyDescent="0.25">
      <c r="A208" t="s">
        <v>34</v>
      </c>
      <c r="B208">
        <v>2018</v>
      </c>
      <c r="C208" t="s">
        <v>42</v>
      </c>
      <c r="D208" s="3">
        <f>DATE(B208,MATCH(C208,{"January","February","March","April","May","June","July","August","September","October","November","December"},0),1)</f>
        <v>43344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  <c r="AF208">
        <f t="shared" si="6"/>
        <v>136.88461538461539</v>
      </c>
      <c r="AG208">
        <v>159.19999999999999</v>
      </c>
      <c r="AH208">
        <f>Table1[[#This Row],[Clothing and footwear]]</f>
        <v>146.5</v>
      </c>
      <c r="AI208">
        <v>145.30000000000001</v>
      </c>
      <c r="AJ208">
        <v>142.30000000000001</v>
      </c>
      <c r="AK208">
        <f>AVERAGE(Table1[[#This Row],[Household goods and services]],Table1[[#This Row],[Personal care and effects]])</f>
        <v>135.30000000000001</v>
      </c>
      <c r="AL208">
        <f>Table1[[#This Row],[Health]]</f>
        <v>138.4</v>
      </c>
      <c r="AM208">
        <v>126</v>
      </c>
      <c r="AN208">
        <f>AVERAGE(Table1[[#This Row],[Education]],Table1[[#This Row],[Recreation and amusement]])</f>
        <v>140.35</v>
      </c>
      <c r="AO208">
        <f>Table1[[#This Row],[Miscellaneous]]</f>
        <v>134.69999999999999</v>
      </c>
      <c r="AP208" t="str">
        <f t="shared" si="7"/>
        <v>Pre-COVID</v>
      </c>
    </row>
    <row r="209" spans="1:42" x14ac:dyDescent="0.25">
      <c r="A209" t="s">
        <v>30</v>
      </c>
      <c r="B209">
        <v>2018</v>
      </c>
      <c r="C209" t="s">
        <v>43</v>
      </c>
      <c r="D209" s="3">
        <f>DATE(B209,MATCH(C209,{"January","February","March","April","May","June","July","August","September","October","November","December"},0),1)</f>
        <v>43374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>
        <v>146.30000000000001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  <c r="AF209">
        <f t="shared" si="6"/>
        <v>137.09230769230768</v>
      </c>
      <c r="AG209">
        <v>159.6</v>
      </c>
      <c r="AH209">
        <f>Table1[[#This Row],[Clothing and footwear]]</f>
        <v>149.80000000000001</v>
      </c>
      <c r="AI209">
        <v>146.30000000000001</v>
      </c>
      <c r="AJ209">
        <v>149.69999999999999</v>
      </c>
      <c r="AK209">
        <f>AVERAGE(Table1[[#This Row],[Household goods and services]],Table1[[#This Row],[Personal care and effects]])</f>
        <v>140.94999999999999</v>
      </c>
      <c r="AL209">
        <f>Table1[[#This Row],[Health]]</f>
        <v>144.80000000000001</v>
      </c>
      <c r="AM209">
        <v>130.80000000000001</v>
      </c>
      <c r="AN209">
        <f>AVERAGE(Table1[[#This Row],[Education]],Table1[[#This Row],[Recreation and amusement]])</f>
        <v>144.05000000000001</v>
      </c>
      <c r="AO209">
        <f>Table1[[#This Row],[Miscellaneous]]</f>
        <v>139.80000000000001</v>
      </c>
      <c r="AP209" t="str">
        <f t="shared" si="7"/>
        <v>Pre-COVID</v>
      </c>
    </row>
    <row r="210" spans="1:42" x14ac:dyDescent="0.25">
      <c r="A210" t="s">
        <v>33</v>
      </c>
      <c r="B210">
        <v>2018</v>
      </c>
      <c r="C210" t="s">
        <v>43</v>
      </c>
      <c r="D210" s="3">
        <f>DATE(B210,MATCH(C210,{"January","February","March","April","May","June","July","August","September","October","November","December"},0),1)</f>
        <v>43374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146.9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  <c r="AF210">
        <f t="shared" si="6"/>
        <v>134.93076923076922</v>
      </c>
      <c r="AG210">
        <v>164</v>
      </c>
      <c r="AH210">
        <f>Table1[[#This Row],[Clothing and footwear]]</f>
        <v>139.69999999999999</v>
      </c>
      <c r="AI210">
        <v>146.9</v>
      </c>
      <c r="AJ210">
        <v>133.4</v>
      </c>
      <c r="AK210">
        <f>AVERAGE(Table1[[#This Row],[Household goods and services]],Table1[[#This Row],[Personal care and effects]])</f>
        <v>132.75</v>
      </c>
      <c r="AL210">
        <f>Table1[[#This Row],[Health]]</f>
        <v>136.19999999999999</v>
      </c>
      <c r="AM210">
        <v>123.3</v>
      </c>
      <c r="AN210">
        <f>AVERAGE(Table1[[#This Row],[Education]],Table1[[#This Row],[Recreation and amusement]])</f>
        <v>138.1</v>
      </c>
      <c r="AO210">
        <f>Table1[[#This Row],[Miscellaneous]]</f>
        <v>132.5</v>
      </c>
      <c r="AP210" t="str">
        <f t="shared" si="7"/>
        <v>Pre-COVID</v>
      </c>
    </row>
    <row r="211" spans="1:42" x14ac:dyDescent="0.25">
      <c r="A211" t="s">
        <v>34</v>
      </c>
      <c r="B211">
        <v>2018</v>
      </c>
      <c r="C211" t="s">
        <v>43</v>
      </c>
      <c r="D211" s="3">
        <f>DATE(B211,MATCH(C211,{"January","February","March","April","May","June","July","August","September","October","November","December"},0),1)</f>
        <v>43374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  <c r="AF211">
        <f t="shared" si="6"/>
        <v>136.63076923076923</v>
      </c>
      <c r="AG211">
        <v>162.6</v>
      </c>
      <c r="AH211">
        <f>Table1[[#This Row],[Clothing and footwear]]</f>
        <v>146.80000000000001</v>
      </c>
      <c r="AI211">
        <v>146.9</v>
      </c>
      <c r="AJ211">
        <v>145.30000000000001</v>
      </c>
      <c r="AK211">
        <f>AVERAGE(Table1[[#This Row],[Household goods and services]],Table1[[#This Row],[Personal care and effects]])</f>
        <v>137.1</v>
      </c>
      <c r="AL211">
        <f>Table1[[#This Row],[Health]]</f>
        <v>142.1</v>
      </c>
      <c r="AM211">
        <v>125.5</v>
      </c>
      <c r="AN211">
        <f>AVERAGE(Table1[[#This Row],[Education]],Table1[[#This Row],[Recreation and amusement]])</f>
        <v>142.15</v>
      </c>
      <c r="AO211">
        <f>Table1[[#This Row],[Miscellaneous]]</f>
        <v>136.30000000000001</v>
      </c>
      <c r="AP211" t="str">
        <f t="shared" si="7"/>
        <v>Pre-COVID</v>
      </c>
    </row>
    <row r="212" spans="1:42" x14ac:dyDescent="0.25">
      <c r="A212" t="s">
        <v>30</v>
      </c>
      <c r="B212">
        <v>2018</v>
      </c>
      <c r="C212" t="s">
        <v>45</v>
      </c>
      <c r="D212" s="3">
        <f>DATE(B212,MATCH(C212,{"January","February","March","April","May","June","July","August","September","October","November","December"},0),1)</f>
        <v>43405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>
        <v>146.9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  <c r="AF212">
        <f t="shared" si="6"/>
        <v>137.49999999999997</v>
      </c>
      <c r="AG212">
        <v>161.9</v>
      </c>
      <c r="AH212">
        <f>Table1[[#This Row],[Clothing and footwear]]</f>
        <v>150.80000000000001</v>
      </c>
      <c r="AI212">
        <v>146.9</v>
      </c>
      <c r="AJ212">
        <v>150.30000000000001</v>
      </c>
      <c r="AK212">
        <f>AVERAGE(Table1[[#This Row],[Household goods and services]],Table1[[#This Row],[Personal care and effects]])</f>
        <v>140.55000000000001</v>
      </c>
      <c r="AL212">
        <f>Table1[[#This Row],[Health]]</f>
        <v>145.4</v>
      </c>
      <c r="AM212">
        <v>130.30000000000001</v>
      </c>
      <c r="AN212">
        <f>AVERAGE(Table1[[#This Row],[Education]],Table1[[#This Row],[Recreation and amusement]])</f>
        <v>146.64999999999998</v>
      </c>
      <c r="AO212">
        <f>Table1[[#This Row],[Miscellaneous]]</f>
        <v>140.1</v>
      </c>
      <c r="AP212" t="str">
        <f t="shared" si="7"/>
        <v>Pre-COVID</v>
      </c>
    </row>
    <row r="213" spans="1:42" x14ac:dyDescent="0.25">
      <c r="A213" t="s">
        <v>33</v>
      </c>
      <c r="B213">
        <v>2018</v>
      </c>
      <c r="C213" t="s">
        <v>45</v>
      </c>
      <c r="D213" s="3">
        <f>DATE(B213,MATCH(C213,{"January","February","March","April","May","June","July","August","September","October","November","December"},0),1)</f>
        <v>43405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  <c r="AF213">
        <f t="shared" si="6"/>
        <v>135.19230769230768</v>
      </c>
      <c r="AG213">
        <v>164.4</v>
      </c>
      <c r="AH213">
        <f>Table1[[#This Row],[Clothing and footwear]]</f>
        <v>140.5</v>
      </c>
      <c r="AI213">
        <v>146.9</v>
      </c>
      <c r="AJ213">
        <v>136.69999999999999</v>
      </c>
      <c r="AK213">
        <f>AVERAGE(Table1[[#This Row],[Household goods and services]],Table1[[#This Row],[Personal care and effects]])</f>
        <v>133.15</v>
      </c>
      <c r="AL213">
        <f>Table1[[#This Row],[Health]]</f>
        <v>136.80000000000001</v>
      </c>
      <c r="AM213">
        <v>121.2</v>
      </c>
      <c r="AN213">
        <f>AVERAGE(Table1[[#This Row],[Education]],Table1[[#This Row],[Recreation and amusement]])</f>
        <v>138.69999999999999</v>
      </c>
      <c r="AO213">
        <f>Table1[[#This Row],[Miscellaneous]]</f>
        <v>132.19999999999999</v>
      </c>
      <c r="AP213" t="str">
        <f t="shared" si="7"/>
        <v>Pre-COVID</v>
      </c>
    </row>
    <row r="214" spans="1:42" x14ac:dyDescent="0.25">
      <c r="A214" t="s">
        <v>34</v>
      </c>
      <c r="B214">
        <v>2018</v>
      </c>
      <c r="C214" t="s">
        <v>45</v>
      </c>
      <c r="D214" s="3">
        <f>DATE(B214,MATCH(C214,{"January","February","March","April","May","June","July","August","September","October","November","December"},0),1)</f>
        <v>43405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  <c r="AF214">
        <f t="shared" si="6"/>
        <v>136.59230769230771</v>
      </c>
      <c r="AG214">
        <v>162.6</v>
      </c>
      <c r="AH214">
        <f>Table1[[#This Row],[Clothing and footwear]]</f>
        <v>146.69999999999999</v>
      </c>
      <c r="AI214">
        <v>146.9</v>
      </c>
      <c r="AJ214">
        <v>145.1</v>
      </c>
      <c r="AK214">
        <f>AVERAGE(Table1[[#This Row],[Household goods and services]],Table1[[#This Row],[Personal care and effects]])</f>
        <v>137.1</v>
      </c>
      <c r="AL214">
        <f>Table1[[#This Row],[Health]]</f>
        <v>142.1</v>
      </c>
      <c r="AM214">
        <v>125.5</v>
      </c>
      <c r="AN214">
        <f>AVERAGE(Table1[[#This Row],[Education]],Table1[[#This Row],[Recreation and amusement]])</f>
        <v>142.15</v>
      </c>
      <c r="AO214">
        <f>Table1[[#This Row],[Miscellaneous]]</f>
        <v>136.30000000000001</v>
      </c>
      <c r="AP214" t="str">
        <f t="shared" si="7"/>
        <v>Pre-COVID</v>
      </c>
    </row>
    <row r="215" spans="1:42" x14ac:dyDescent="0.25">
      <c r="A215" t="s">
        <v>30</v>
      </c>
      <c r="B215">
        <v>2018</v>
      </c>
      <c r="C215" t="s">
        <v>46</v>
      </c>
      <c r="D215" s="3">
        <f>DATE(B215,MATCH(C215,{"January","February","March","April","May","June","July","August","September","October","November","December"},0),1)</f>
        <v>43435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>
        <v>146.5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  <c r="AF215">
        <f t="shared" si="6"/>
        <v>136.3923076923077</v>
      </c>
      <c r="AG215">
        <v>162.4</v>
      </c>
      <c r="AH215">
        <f>Table1[[#This Row],[Clothing and footwear]]</f>
        <v>150.80000000000001</v>
      </c>
      <c r="AI215">
        <v>146.5</v>
      </c>
      <c r="AJ215">
        <v>149</v>
      </c>
      <c r="AK215">
        <f>AVERAGE(Table1[[#This Row],[Household goods and services]],Table1[[#This Row],[Personal care and effects]])</f>
        <v>141.35</v>
      </c>
      <c r="AL215">
        <f>Table1[[#This Row],[Health]]</f>
        <v>149.6</v>
      </c>
      <c r="AM215">
        <v>128.9</v>
      </c>
      <c r="AN215">
        <f>AVERAGE(Table1[[#This Row],[Education]],Table1[[#This Row],[Recreation and amusement]])</f>
        <v>149.19999999999999</v>
      </c>
      <c r="AO215">
        <f>Table1[[#This Row],[Miscellaneous]]</f>
        <v>141.6</v>
      </c>
      <c r="AP215" t="str">
        <f t="shared" si="7"/>
        <v>Pre-COVID</v>
      </c>
    </row>
    <row r="216" spans="1:42" x14ac:dyDescent="0.25">
      <c r="A216" t="s">
        <v>33</v>
      </c>
      <c r="B216">
        <v>2018</v>
      </c>
      <c r="C216" t="s">
        <v>46</v>
      </c>
      <c r="D216" s="3">
        <f>DATE(B216,MATCH(C216,{"January","February","March","April","May","June","July","August","September","October","November","December"},0),1)</f>
        <v>43435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  <c r="AF216">
        <f t="shared" si="6"/>
        <v>134.35384615384615</v>
      </c>
      <c r="AG216">
        <v>164.6</v>
      </c>
      <c r="AH216">
        <f>Table1[[#This Row],[Clothing and footwear]]</f>
        <v>140.80000000000001</v>
      </c>
      <c r="AI216">
        <v>146.5</v>
      </c>
      <c r="AJ216">
        <v>132.4</v>
      </c>
      <c r="AK216">
        <f>AVERAGE(Table1[[#This Row],[Household goods and services]],Table1[[#This Row],[Personal care and effects]])</f>
        <v>133.5</v>
      </c>
      <c r="AL216">
        <f>Table1[[#This Row],[Health]]</f>
        <v>137.30000000000001</v>
      </c>
      <c r="AM216">
        <v>118.8</v>
      </c>
      <c r="AN216">
        <f>AVERAGE(Table1[[#This Row],[Education]],Table1[[#This Row],[Recreation and amusement]])</f>
        <v>139.1</v>
      </c>
      <c r="AO216">
        <f>Table1[[#This Row],[Miscellaneous]]</f>
        <v>131.69999999999999</v>
      </c>
      <c r="AP216" t="str">
        <f t="shared" si="7"/>
        <v>Pre-COVID</v>
      </c>
    </row>
    <row r="217" spans="1:42" x14ac:dyDescent="0.25">
      <c r="A217" t="s">
        <v>34</v>
      </c>
      <c r="B217">
        <v>2018</v>
      </c>
      <c r="C217" t="s">
        <v>46</v>
      </c>
      <c r="D217" s="3">
        <f>DATE(B217,MATCH(C217,{"January","February","March","April","May","June","July","August","September","October","November","December"},0),1)</f>
        <v>43435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  <c r="AF217">
        <f t="shared" si="6"/>
        <v>135.59999999999997</v>
      </c>
      <c r="AG217">
        <v>163</v>
      </c>
      <c r="AH217">
        <f>Table1[[#This Row],[Clothing and footwear]]</f>
        <v>146.80000000000001</v>
      </c>
      <c r="AI217">
        <v>146.5</v>
      </c>
      <c r="AJ217">
        <v>142.69999999999999</v>
      </c>
      <c r="AK217">
        <f>AVERAGE(Table1[[#This Row],[Household goods and services]],Table1[[#This Row],[Personal care and effects]])</f>
        <v>137.69999999999999</v>
      </c>
      <c r="AL217">
        <f>Table1[[#This Row],[Health]]</f>
        <v>144.9</v>
      </c>
      <c r="AM217">
        <v>123.6</v>
      </c>
      <c r="AN217">
        <f>AVERAGE(Table1[[#This Row],[Education]],Table1[[#This Row],[Recreation and amusement]])</f>
        <v>143.44999999999999</v>
      </c>
      <c r="AO217">
        <f>Table1[[#This Row],[Miscellaneous]]</f>
        <v>136.80000000000001</v>
      </c>
      <c r="AP217" t="str">
        <f t="shared" si="7"/>
        <v>Pre-COVID</v>
      </c>
    </row>
    <row r="218" spans="1:42" x14ac:dyDescent="0.25">
      <c r="A218" t="s">
        <v>30</v>
      </c>
      <c r="B218">
        <v>2019</v>
      </c>
      <c r="C218" t="s">
        <v>31</v>
      </c>
      <c r="D218" s="3">
        <f>DATE(B218,MATCH(C218,{"January","February","March","April","May","June","July","August","September","October","November","December"},0),1)</f>
        <v>43466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>
        <v>147.69999999999999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  <c r="AF218">
        <f t="shared" si="6"/>
        <v>135.35384615384618</v>
      </c>
      <c r="AG218">
        <v>162.69999999999999</v>
      </c>
      <c r="AH218">
        <f>Table1[[#This Row],[Clothing and footwear]]</f>
        <v>149.9</v>
      </c>
      <c r="AI218">
        <v>147.69999999999999</v>
      </c>
      <c r="AJ218">
        <v>146.19999999999999</v>
      </c>
      <c r="AK218">
        <f>AVERAGE(Table1[[#This Row],[Household goods and services]],Table1[[#This Row],[Personal care and effects]])</f>
        <v>141.80000000000001</v>
      </c>
      <c r="AL218">
        <f>Table1[[#This Row],[Health]]</f>
        <v>149.6</v>
      </c>
      <c r="AM218">
        <v>128.6</v>
      </c>
      <c r="AN218">
        <f>AVERAGE(Table1[[#This Row],[Education]],Table1[[#This Row],[Recreation and amusement]])</f>
        <v>149.05000000000001</v>
      </c>
      <c r="AO218">
        <f>Table1[[#This Row],[Miscellaneous]]</f>
        <v>141.69999999999999</v>
      </c>
      <c r="AP218" t="str">
        <f t="shared" si="7"/>
        <v>Pre-COVID</v>
      </c>
    </row>
    <row r="219" spans="1:42" x14ac:dyDescent="0.25">
      <c r="A219" t="s">
        <v>33</v>
      </c>
      <c r="B219">
        <v>2019</v>
      </c>
      <c r="C219" t="s">
        <v>31</v>
      </c>
      <c r="D219" s="3">
        <f>DATE(B219,MATCH(C219,{"January","February","March","April","May","June","July","August","September","October","November","December"},0),1)</f>
        <v>43466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  <c r="AF219">
        <f t="shared" si="6"/>
        <v>134.17692307692309</v>
      </c>
      <c r="AG219">
        <v>164.7</v>
      </c>
      <c r="AH219">
        <f>Table1[[#This Row],[Clothing and footwear]]</f>
        <v>141.1</v>
      </c>
      <c r="AI219">
        <v>147.69999999999999</v>
      </c>
      <c r="AJ219">
        <v>128.6</v>
      </c>
      <c r="AK219">
        <f>AVERAGE(Table1[[#This Row],[Household goods and services]],Table1[[#This Row],[Personal care and effects]])</f>
        <v>134</v>
      </c>
      <c r="AL219">
        <f>Table1[[#This Row],[Health]]</f>
        <v>137.80000000000001</v>
      </c>
      <c r="AM219">
        <v>118.6</v>
      </c>
      <c r="AN219">
        <f>AVERAGE(Table1[[#This Row],[Education]],Table1[[#This Row],[Recreation and amusement]])</f>
        <v>139.25</v>
      </c>
      <c r="AO219">
        <f>Table1[[#This Row],[Miscellaneous]]</f>
        <v>131.80000000000001</v>
      </c>
      <c r="AP219" t="str">
        <f t="shared" si="7"/>
        <v>Pre-COVID</v>
      </c>
    </row>
    <row r="220" spans="1:42" x14ac:dyDescent="0.25">
      <c r="A220" t="s">
        <v>34</v>
      </c>
      <c r="B220">
        <v>2019</v>
      </c>
      <c r="C220" t="s">
        <v>31</v>
      </c>
      <c r="D220" s="3">
        <f>DATE(B220,MATCH(C220,{"January","February","March","April","May","June","July","August","September","October","November","December"},0),1)</f>
        <v>43466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  <c r="AF220">
        <f t="shared" si="6"/>
        <v>134.87692307692308</v>
      </c>
      <c r="AG220">
        <v>163.19999999999999</v>
      </c>
      <c r="AH220">
        <f>Table1[[#This Row],[Clothing and footwear]]</f>
        <v>146.4</v>
      </c>
      <c r="AI220">
        <v>147.69999999999999</v>
      </c>
      <c r="AJ220">
        <v>139.5</v>
      </c>
      <c r="AK220">
        <f>AVERAGE(Table1[[#This Row],[Household goods and services]],Table1[[#This Row],[Personal care and effects]])</f>
        <v>138.19999999999999</v>
      </c>
      <c r="AL220">
        <f>Table1[[#This Row],[Health]]</f>
        <v>145.1</v>
      </c>
      <c r="AM220">
        <v>123.3</v>
      </c>
      <c r="AN220">
        <f>AVERAGE(Table1[[#This Row],[Education]],Table1[[#This Row],[Recreation and amusement]])</f>
        <v>143.44999999999999</v>
      </c>
      <c r="AO220">
        <f>Table1[[#This Row],[Miscellaneous]]</f>
        <v>136.9</v>
      </c>
      <c r="AP220" t="str">
        <f t="shared" si="7"/>
        <v>Pre-COVID</v>
      </c>
    </row>
    <row r="221" spans="1:42" x14ac:dyDescent="0.25">
      <c r="A221" t="s">
        <v>30</v>
      </c>
      <c r="B221">
        <v>2019</v>
      </c>
      <c r="C221" t="s">
        <v>35</v>
      </c>
      <c r="D221" s="3">
        <f>DATE(B221,MATCH(C221,{"January","February","March","April","May","June","July","August","September","October","November","December"},0),1)</f>
        <v>43497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>
        <v>148.5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  <c r="AF221">
        <f t="shared" si="6"/>
        <v>135.3692307692308</v>
      </c>
      <c r="AG221">
        <v>162.80000000000001</v>
      </c>
      <c r="AH221">
        <f>Table1[[#This Row],[Clothing and footwear]]</f>
        <v>149.9</v>
      </c>
      <c r="AI221">
        <v>148.5</v>
      </c>
      <c r="AJ221">
        <v>145.30000000000001</v>
      </c>
      <c r="AK221">
        <f>AVERAGE(Table1[[#This Row],[Household goods and services]],Table1[[#This Row],[Personal care and effects]])</f>
        <v>142.5</v>
      </c>
      <c r="AL221">
        <f>Table1[[#This Row],[Health]]</f>
        <v>149.9</v>
      </c>
      <c r="AM221">
        <v>129.19999999999999</v>
      </c>
      <c r="AN221">
        <f>AVERAGE(Table1[[#This Row],[Education]],Table1[[#This Row],[Recreation and amusement]])</f>
        <v>149.44999999999999</v>
      </c>
      <c r="AO221">
        <f>Table1[[#This Row],[Miscellaneous]]</f>
        <v>142.19999999999999</v>
      </c>
      <c r="AP221" t="str">
        <f t="shared" si="7"/>
        <v>Pre-COVID</v>
      </c>
    </row>
    <row r="222" spans="1:42" x14ac:dyDescent="0.25">
      <c r="A222" t="s">
        <v>33</v>
      </c>
      <c r="B222">
        <v>2019</v>
      </c>
      <c r="C222" t="s">
        <v>35</v>
      </c>
      <c r="D222" s="3">
        <f>DATE(B222,MATCH(C222,{"January","February","March","April","May","June","July","August","September","October","November","December"},0),1)</f>
        <v>43497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  <c r="AF222">
        <f t="shared" si="6"/>
        <v>134.95384615384617</v>
      </c>
      <c r="AG222">
        <v>164.9</v>
      </c>
      <c r="AH222">
        <f>Table1[[#This Row],[Clothing and footwear]]</f>
        <v>141.4</v>
      </c>
      <c r="AI222">
        <v>148.5</v>
      </c>
      <c r="AJ222">
        <v>127.1</v>
      </c>
      <c r="AK222">
        <f>AVERAGE(Table1[[#This Row],[Household goods and services]],Table1[[#This Row],[Personal care and effects]])</f>
        <v>134.80000000000001</v>
      </c>
      <c r="AL222">
        <f>Table1[[#This Row],[Health]]</f>
        <v>138.5</v>
      </c>
      <c r="AM222">
        <v>119.2</v>
      </c>
      <c r="AN222">
        <f>AVERAGE(Table1[[#This Row],[Education]],Table1[[#This Row],[Recreation and amusement]])</f>
        <v>139.39999999999998</v>
      </c>
      <c r="AO222">
        <f>Table1[[#This Row],[Miscellaneous]]</f>
        <v>132.4</v>
      </c>
      <c r="AP222" t="str">
        <f t="shared" si="7"/>
        <v>Pre-COVID</v>
      </c>
    </row>
    <row r="223" spans="1:42" x14ac:dyDescent="0.25">
      <c r="A223" t="s">
        <v>34</v>
      </c>
      <c r="B223">
        <v>2019</v>
      </c>
      <c r="C223" t="s">
        <v>35</v>
      </c>
      <c r="D223" s="3">
        <f>DATE(B223,MATCH(C223,{"January","February","March","April","May","June","July","August","September","October","November","December"},0),1)</f>
        <v>43497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  <c r="AF223">
        <f t="shared" si="6"/>
        <v>135.16153846153844</v>
      </c>
      <c r="AG223">
        <v>163.4</v>
      </c>
      <c r="AH223">
        <f>Table1[[#This Row],[Clothing and footwear]]</f>
        <v>146.5</v>
      </c>
      <c r="AI223">
        <v>148.5</v>
      </c>
      <c r="AJ223">
        <v>138.4</v>
      </c>
      <c r="AK223">
        <f>AVERAGE(Table1[[#This Row],[Household goods and services]],Table1[[#This Row],[Personal care and effects]])</f>
        <v>138.89999999999998</v>
      </c>
      <c r="AL223">
        <f>Table1[[#This Row],[Health]]</f>
        <v>145.6</v>
      </c>
      <c r="AM223">
        <v>123.9</v>
      </c>
      <c r="AN223">
        <f>AVERAGE(Table1[[#This Row],[Education]],Table1[[#This Row],[Recreation and amusement]])</f>
        <v>143.69999999999999</v>
      </c>
      <c r="AO223">
        <f>Table1[[#This Row],[Miscellaneous]]</f>
        <v>137.4</v>
      </c>
      <c r="AP223" t="str">
        <f t="shared" si="7"/>
        <v>Pre-COVID</v>
      </c>
    </row>
    <row r="224" spans="1:42" x14ac:dyDescent="0.25">
      <c r="A224" t="s">
        <v>30</v>
      </c>
      <c r="B224">
        <v>2019</v>
      </c>
      <c r="C224" t="s">
        <v>36</v>
      </c>
      <c r="D224" s="3">
        <f>DATE(B224,MATCH(C224,{"January","February","March","April","May","June","July","August","September","October","November","December"},0),1)</f>
        <v>43525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>
        <v>149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  <c r="AF224">
        <f t="shared" si="6"/>
        <v>135.4769230769231</v>
      </c>
      <c r="AG224">
        <v>162.9</v>
      </c>
      <c r="AH224">
        <f>Table1[[#This Row],[Clothing and footwear]]</f>
        <v>150.1</v>
      </c>
      <c r="AI224">
        <v>149</v>
      </c>
      <c r="AJ224">
        <v>146.4</v>
      </c>
      <c r="AK224">
        <f>AVERAGE(Table1[[#This Row],[Household goods and services]],Table1[[#This Row],[Personal care and effects]])</f>
        <v>142</v>
      </c>
      <c r="AL224">
        <f>Table1[[#This Row],[Health]]</f>
        <v>150.4</v>
      </c>
      <c r="AM224">
        <v>129.9</v>
      </c>
      <c r="AN224">
        <f>AVERAGE(Table1[[#This Row],[Education]],Table1[[#This Row],[Recreation and amusement]])</f>
        <v>149.65</v>
      </c>
      <c r="AO224">
        <f>Table1[[#This Row],[Miscellaneous]]</f>
        <v>142.4</v>
      </c>
      <c r="AP224" t="str">
        <f t="shared" si="7"/>
        <v>Pre-COVID</v>
      </c>
    </row>
    <row r="225" spans="1:42" x14ac:dyDescent="0.25">
      <c r="A225" t="s">
        <v>33</v>
      </c>
      <c r="B225">
        <v>2019</v>
      </c>
      <c r="C225" t="s">
        <v>36</v>
      </c>
      <c r="D225" s="3">
        <f>DATE(B225,MATCH(C225,{"January","February","March","April","May","June","July","August","September","October","November","December"},0),1)</f>
        <v>43525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  <c r="AF225">
        <f t="shared" si="6"/>
        <v>136.03076923076924</v>
      </c>
      <c r="AG225">
        <v>165.3</v>
      </c>
      <c r="AH225">
        <f>Table1[[#This Row],[Clothing and footwear]]</f>
        <v>141.6</v>
      </c>
      <c r="AI225">
        <v>149</v>
      </c>
      <c r="AJ225">
        <v>128.80000000000001</v>
      </c>
      <c r="AK225">
        <f>AVERAGE(Table1[[#This Row],[Household goods and services]],Table1[[#This Row],[Personal care and effects]])</f>
        <v>134.65</v>
      </c>
      <c r="AL225">
        <f>Table1[[#This Row],[Health]]</f>
        <v>139.19999999999999</v>
      </c>
      <c r="AM225">
        <v>119.9</v>
      </c>
      <c r="AN225">
        <f>AVERAGE(Table1[[#This Row],[Education]],Table1[[#This Row],[Recreation and amusement]])</f>
        <v>139.85</v>
      </c>
      <c r="AO225">
        <f>Table1[[#This Row],[Miscellaneous]]</f>
        <v>132.80000000000001</v>
      </c>
      <c r="AP225" t="str">
        <f t="shared" si="7"/>
        <v>Pre-COVID</v>
      </c>
    </row>
    <row r="226" spans="1:42" x14ac:dyDescent="0.25">
      <c r="A226" t="s">
        <v>34</v>
      </c>
      <c r="B226">
        <v>2019</v>
      </c>
      <c r="C226" t="s">
        <v>36</v>
      </c>
      <c r="D226" s="3">
        <f>DATE(B226,MATCH(C226,{"January","February","March","April","May","June","July","August","September","October","November","December"},0),1)</f>
        <v>43525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  <c r="AF226">
        <f t="shared" si="6"/>
        <v>135.6076923076923</v>
      </c>
      <c r="AG226">
        <v>163.5</v>
      </c>
      <c r="AH226">
        <f>Table1[[#This Row],[Clothing and footwear]]</f>
        <v>146.69999999999999</v>
      </c>
      <c r="AI226">
        <v>149</v>
      </c>
      <c r="AJ226">
        <v>139.69999999999999</v>
      </c>
      <c r="AK226">
        <f>AVERAGE(Table1[[#This Row],[Household goods and services]],Table1[[#This Row],[Personal care and effects]])</f>
        <v>138.60000000000002</v>
      </c>
      <c r="AL226">
        <f>Table1[[#This Row],[Health]]</f>
        <v>146.19999999999999</v>
      </c>
      <c r="AM226">
        <v>124.6</v>
      </c>
      <c r="AN226">
        <f>AVERAGE(Table1[[#This Row],[Education]],Table1[[#This Row],[Recreation and amusement]])</f>
        <v>144</v>
      </c>
      <c r="AO226">
        <f>Table1[[#This Row],[Miscellaneous]]</f>
        <v>137.69999999999999</v>
      </c>
      <c r="AP226" t="str">
        <f t="shared" si="7"/>
        <v>Pre-COVID</v>
      </c>
    </row>
    <row r="227" spans="1:42" x14ac:dyDescent="0.25">
      <c r="A227" t="s">
        <v>30</v>
      </c>
      <c r="B227">
        <v>2019</v>
      </c>
      <c r="C227" t="s">
        <v>38</v>
      </c>
      <c r="D227" s="3">
        <f>DATE(B227,MATCH(C227,{"January","February","March","April","May","June","July","August","September","October","November","December"},0),1)</f>
        <v>43586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>
        <v>150.1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  <c r="AF227">
        <f t="shared" si="6"/>
        <v>137.0846153846154</v>
      </c>
      <c r="AG227">
        <v>163.30000000000001</v>
      </c>
      <c r="AH227">
        <f>Table1[[#This Row],[Clothing and footwear]]</f>
        <v>150.69999999999999</v>
      </c>
      <c r="AI227">
        <v>150.1</v>
      </c>
      <c r="AJ227">
        <v>146.9</v>
      </c>
      <c r="AK227">
        <f>AVERAGE(Table1[[#This Row],[Household goods and services]],Table1[[#This Row],[Personal care and effects]])</f>
        <v>141.69999999999999</v>
      </c>
      <c r="AL227">
        <f>Table1[[#This Row],[Health]]</f>
        <v>151.30000000000001</v>
      </c>
      <c r="AM227">
        <v>130.19999999999999</v>
      </c>
      <c r="AN227">
        <f>AVERAGE(Table1[[#This Row],[Education]],Table1[[#This Row],[Recreation and amusement]])</f>
        <v>151.30000000000001</v>
      </c>
      <c r="AO227">
        <f>Table1[[#This Row],[Miscellaneous]]</f>
        <v>142.9</v>
      </c>
      <c r="AP227" t="str">
        <f t="shared" si="7"/>
        <v>Pre-COVID</v>
      </c>
    </row>
    <row r="228" spans="1:42" x14ac:dyDescent="0.25">
      <c r="A228" t="s">
        <v>33</v>
      </c>
      <c r="B228">
        <v>2019</v>
      </c>
      <c r="C228" t="s">
        <v>38</v>
      </c>
      <c r="D228" s="3">
        <f>DATE(B228,MATCH(C228,{"January","February","March","April","May","June","July","August","September","October","November","December"},0),1)</f>
        <v>43586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  <c r="AF228">
        <f t="shared" si="6"/>
        <v>139.34615384615387</v>
      </c>
      <c r="AG228">
        <v>166.2</v>
      </c>
      <c r="AH228">
        <f>Table1[[#This Row],[Clothing and footwear]]</f>
        <v>142.19999999999999</v>
      </c>
      <c r="AI228">
        <v>150.1</v>
      </c>
      <c r="AJ228">
        <v>129.4</v>
      </c>
      <c r="AK228">
        <f>AVERAGE(Table1[[#This Row],[Household goods and services]],Table1[[#This Row],[Personal care and effects]])</f>
        <v>134.89999999999998</v>
      </c>
      <c r="AL228">
        <f>Table1[[#This Row],[Health]]</f>
        <v>139.80000000000001</v>
      </c>
      <c r="AM228">
        <v>120.1</v>
      </c>
      <c r="AN228">
        <f>AVERAGE(Table1[[#This Row],[Education]],Table1[[#This Row],[Recreation and amusement]])</f>
        <v>141</v>
      </c>
      <c r="AO228">
        <f>Table1[[#This Row],[Miscellaneous]]</f>
        <v>133.30000000000001</v>
      </c>
      <c r="AP228" t="str">
        <f t="shared" si="7"/>
        <v>Pre-COVID</v>
      </c>
    </row>
    <row r="229" spans="1:42" x14ac:dyDescent="0.25">
      <c r="A229" t="s">
        <v>34</v>
      </c>
      <c r="B229">
        <v>2019</v>
      </c>
      <c r="C229" t="s">
        <v>38</v>
      </c>
      <c r="D229" s="3">
        <f>DATE(B229,MATCH(C229,{"January","February","March","April","May","June","July","August","September","October","November","December"},0),1)</f>
        <v>43586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  <c r="AF229">
        <f t="shared" si="6"/>
        <v>137.83846153846156</v>
      </c>
      <c r="AG229">
        <v>164.1</v>
      </c>
      <c r="AH229">
        <f>Table1[[#This Row],[Clothing and footwear]]</f>
        <v>147.30000000000001</v>
      </c>
      <c r="AI229">
        <v>150.1</v>
      </c>
      <c r="AJ229">
        <v>140.30000000000001</v>
      </c>
      <c r="AK229">
        <f>AVERAGE(Table1[[#This Row],[Household goods and services]],Table1[[#This Row],[Personal care and effects]])</f>
        <v>138.55000000000001</v>
      </c>
      <c r="AL229">
        <f>Table1[[#This Row],[Health]]</f>
        <v>146.9</v>
      </c>
      <c r="AM229">
        <v>124.9</v>
      </c>
      <c r="AN229">
        <f>AVERAGE(Table1[[#This Row],[Education]],Table1[[#This Row],[Recreation and amusement]])</f>
        <v>145.39999999999998</v>
      </c>
      <c r="AO229">
        <f>Table1[[#This Row],[Miscellaneous]]</f>
        <v>138.19999999999999</v>
      </c>
      <c r="AP229" t="str">
        <f t="shared" si="7"/>
        <v>Pre-COVID</v>
      </c>
    </row>
    <row r="230" spans="1:42" x14ac:dyDescent="0.25">
      <c r="A230" t="s">
        <v>30</v>
      </c>
      <c r="B230">
        <v>2019</v>
      </c>
      <c r="C230" t="s">
        <v>39</v>
      </c>
      <c r="D230" s="3">
        <f>DATE(B230,MATCH(C230,{"January","February","March","April","May","June","July","August","September","October","November","December"},0),1)</f>
        <v>43617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>
        <v>149.4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  <c r="AF230">
        <f t="shared" si="6"/>
        <v>138.78461538461536</v>
      </c>
      <c r="AG230">
        <v>164.2</v>
      </c>
      <c r="AH230">
        <f>Table1[[#This Row],[Clothing and footwear]]</f>
        <v>150.69999999999999</v>
      </c>
      <c r="AI230">
        <v>149.4</v>
      </c>
      <c r="AJ230">
        <v>147.80000000000001</v>
      </c>
      <c r="AK230">
        <f>AVERAGE(Table1[[#This Row],[Household goods and services]],Table1[[#This Row],[Personal care and effects]])</f>
        <v>142.19999999999999</v>
      </c>
      <c r="AL230">
        <f>Table1[[#This Row],[Health]]</f>
        <v>151.69999999999999</v>
      </c>
      <c r="AM230">
        <v>130.19999999999999</v>
      </c>
      <c r="AN230">
        <f>AVERAGE(Table1[[#This Row],[Education]],Table1[[#This Row],[Recreation and amusement]])</f>
        <v>152.05000000000001</v>
      </c>
      <c r="AO230">
        <f>Table1[[#This Row],[Miscellaneous]]</f>
        <v>143.30000000000001</v>
      </c>
      <c r="AP230" t="str">
        <f t="shared" si="7"/>
        <v>Pre-COVID</v>
      </c>
    </row>
    <row r="231" spans="1:42" x14ac:dyDescent="0.25">
      <c r="A231" t="s">
        <v>33</v>
      </c>
      <c r="B231">
        <v>2019</v>
      </c>
      <c r="C231" t="s">
        <v>39</v>
      </c>
      <c r="D231" s="3">
        <f>DATE(B231,MATCH(C231,{"January","February","March","April","May","June","July","August","September","October","November","December"},0),1)</f>
        <v>43617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  <c r="AF231">
        <f t="shared" si="6"/>
        <v>141.0230769230769</v>
      </c>
      <c r="AG231">
        <v>166.7</v>
      </c>
      <c r="AH231">
        <f>Table1[[#This Row],[Clothing and footwear]]</f>
        <v>142.4</v>
      </c>
      <c r="AI231">
        <v>149.4</v>
      </c>
      <c r="AJ231">
        <v>130.5</v>
      </c>
      <c r="AK231">
        <f>AVERAGE(Table1[[#This Row],[Household goods and services]],Table1[[#This Row],[Personal care and effects]])</f>
        <v>135.55000000000001</v>
      </c>
      <c r="AL231">
        <f>Table1[[#This Row],[Health]]</f>
        <v>140.30000000000001</v>
      </c>
      <c r="AM231">
        <v>119.6</v>
      </c>
      <c r="AN231">
        <f>AVERAGE(Table1[[#This Row],[Education]],Table1[[#This Row],[Recreation and amusement]])</f>
        <v>141.60000000000002</v>
      </c>
      <c r="AO231">
        <f>Table1[[#This Row],[Miscellaneous]]</f>
        <v>133.6</v>
      </c>
      <c r="AP231" t="str">
        <f t="shared" si="7"/>
        <v>Pre-COVID</v>
      </c>
    </row>
    <row r="232" spans="1:42" x14ac:dyDescent="0.25">
      <c r="A232" t="s">
        <v>34</v>
      </c>
      <c r="B232">
        <v>2019</v>
      </c>
      <c r="C232" t="s">
        <v>39</v>
      </c>
      <c r="D232" s="3">
        <f>DATE(B232,MATCH(C232,{"January","February","March","April","May","June","July","August","September","October","November","December"},0),1)</f>
        <v>43617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  <c r="AF232">
        <f t="shared" si="6"/>
        <v>139.54615384615386</v>
      </c>
      <c r="AG232">
        <v>164.9</v>
      </c>
      <c r="AH232">
        <f>Table1[[#This Row],[Clothing and footwear]]</f>
        <v>147.4</v>
      </c>
      <c r="AI232">
        <v>149.4</v>
      </c>
      <c r="AJ232">
        <v>141.19999999999999</v>
      </c>
      <c r="AK232">
        <f>AVERAGE(Table1[[#This Row],[Household goods and services]],Table1[[#This Row],[Personal care and effects]])</f>
        <v>139.05000000000001</v>
      </c>
      <c r="AL232">
        <f>Table1[[#This Row],[Health]]</f>
        <v>147.4</v>
      </c>
      <c r="AM232">
        <v>124.6</v>
      </c>
      <c r="AN232">
        <f>AVERAGE(Table1[[#This Row],[Education]],Table1[[#This Row],[Recreation and amusement]])</f>
        <v>146.05000000000001</v>
      </c>
      <c r="AO232">
        <f>Table1[[#This Row],[Miscellaneous]]</f>
        <v>138.6</v>
      </c>
      <c r="AP232" t="str">
        <f t="shared" si="7"/>
        <v>Pre-COVID</v>
      </c>
    </row>
    <row r="233" spans="1:42" x14ac:dyDescent="0.25">
      <c r="A233" t="s">
        <v>30</v>
      </c>
      <c r="B233">
        <v>2019</v>
      </c>
      <c r="C233" t="s">
        <v>40</v>
      </c>
      <c r="D233" s="3">
        <f>DATE(B233,MATCH(C233,{"January","February","March","April","May","June","July","August","September","October","November","December"},0),1)</f>
        <v>43647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>
        <v>150.6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  <c r="AF233">
        <f t="shared" si="6"/>
        <v>140.53076923076921</v>
      </c>
      <c r="AG233">
        <v>164.5</v>
      </c>
      <c r="AH233">
        <f>Table1[[#This Row],[Clothing and footwear]]</f>
        <v>150.9</v>
      </c>
      <c r="AI233">
        <v>150.6</v>
      </c>
      <c r="AJ233">
        <v>146.80000000000001</v>
      </c>
      <c r="AK233">
        <f>AVERAGE(Table1[[#This Row],[Household goods and services]],Table1[[#This Row],[Personal care and effects]])</f>
        <v>143.05000000000001</v>
      </c>
      <c r="AL233">
        <f>Table1[[#This Row],[Health]]</f>
        <v>152.19999999999999</v>
      </c>
      <c r="AM233">
        <v>131.19999999999999</v>
      </c>
      <c r="AN233">
        <f>AVERAGE(Table1[[#This Row],[Education]],Table1[[#This Row],[Recreation and amusement]])</f>
        <v>153.30000000000001</v>
      </c>
      <c r="AO233">
        <f>Table1[[#This Row],[Miscellaneous]]</f>
        <v>144.19999999999999</v>
      </c>
      <c r="AP233" t="str">
        <f t="shared" si="7"/>
        <v>Pre-COVID</v>
      </c>
    </row>
    <row r="234" spans="1:42" x14ac:dyDescent="0.25">
      <c r="A234" t="s">
        <v>33</v>
      </c>
      <c r="B234">
        <v>2019</v>
      </c>
      <c r="C234" t="s">
        <v>40</v>
      </c>
      <c r="D234" s="3">
        <f>DATE(B234,MATCH(C234,{"January","February","March","April","May","June","July","August","September","October","November","December"},0),1)</f>
        <v>43647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  <c r="AF234">
        <f t="shared" si="6"/>
        <v>142.87692307692308</v>
      </c>
      <c r="AG234">
        <v>167.2</v>
      </c>
      <c r="AH234">
        <f>Table1[[#This Row],[Clothing and footwear]]</f>
        <v>142.69999999999999</v>
      </c>
      <c r="AI234">
        <v>150.6</v>
      </c>
      <c r="AJ234">
        <v>127</v>
      </c>
      <c r="AK234">
        <f>AVERAGE(Table1[[#This Row],[Household goods and services]],Table1[[#This Row],[Personal care and effects]])</f>
        <v>136.39999999999998</v>
      </c>
      <c r="AL234">
        <f>Table1[[#This Row],[Health]]</f>
        <v>140.80000000000001</v>
      </c>
      <c r="AM234">
        <v>120.6</v>
      </c>
      <c r="AN234">
        <f>AVERAGE(Table1[[#This Row],[Education]],Table1[[#This Row],[Recreation and amusement]])</f>
        <v>142.69999999999999</v>
      </c>
      <c r="AO234">
        <f>Table1[[#This Row],[Miscellaneous]]</f>
        <v>134.5</v>
      </c>
      <c r="AP234" t="str">
        <f t="shared" si="7"/>
        <v>Pre-COVID</v>
      </c>
    </row>
    <row r="235" spans="1:42" x14ac:dyDescent="0.25">
      <c r="A235" t="s">
        <v>34</v>
      </c>
      <c r="B235">
        <v>2019</v>
      </c>
      <c r="C235" t="s">
        <v>40</v>
      </c>
      <c r="D235" s="3">
        <f>DATE(B235,MATCH(C235,{"January","February","March","April","May","June","July","August","September","October","November","December"},0),1)</f>
        <v>43647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  <c r="AF235">
        <f t="shared" si="6"/>
        <v>141.34615384615384</v>
      </c>
      <c r="AG235">
        <v>165.2</v>
      </c>
      <c r="AH235">
        <f>Table1[[#This Row],[Clothing and footwear]]</f>
        <v>147.6</v>
      </c>
      <c r="AI235">
        <v>150.6</v>
      </c>
      <c r="AJ235">
        <v>139.30000000000001</v>
      </c>
      <c r="AK235">
        <f>AVERAGE(Table1[[#This Row],[Household goods and services]],Table1[[#This Row],[Personal care and effects]])</f>
        <v>139.94999999999999</v>
      </c>
      <c r="AL235">
        <f>Table1[[#This Row],[Health]]</f>
        <v>147.9</v>
      </c>
      <c r="AM235">
        <v>125.6</v>
      </c>
      <c r="AN235">
        <f>AVERAGE(Table1[[#This Row],[Education]],Table1[[#This Row],[Recreation and amusement]])</f>
        <v>147.25</v>
      </c>
      <c r="AO235">
        <f>Table1[[#This Row],[Miscellaneous]]</f>
        <v>139.5</v>
      </c>
      <c r="AP235" t="str">
        <f t="shared" si="7"/>
        <v>Pre-COVID</v>
      </c>
    </row>
    <row r="236" spans="1:42" x14ac:dyDescent="0.25">
      <c r="A236" t="s">
        <v>30</v>
      </c>
      <c r="B236">
        <v>2019</v>
      </c>
      <c r="C236" t="s">
        <v>41</v>
      </c>
      <c r="D236" s="3">
        <f>DATE(B236,MATCH(C236,{"January","February","March","April","May","June","July","August","September","October","November","December"},0),1)</f>
        <v>43678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>
        <v>151.6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  <c r="AF236">
        <f t="shared" si="6"/>
        <v>141.11538461538464</v>
      </c>
      <c r="AG236">
        <v>165.1</v>
      </c>
      <c r="AH236">
        <f>Table1[[#This Row],[Clothing and footwear]]</f>
        <v>151.1</v>
      </c>
      <c r="AI236">
        <v>151.6</v>
      </c>
      <c r="AJ236">
        <v>146.4</v>
      </c>
      <c r="AK236">
        <f>AVERAGE(Table1[[#This Row],[Household goods and services]],Table1[[#This Row],[Personal care and effects]])</f>
        <v>144.5</v>
      </c>
      <c r="AL236">
        <f>Table1[[#This Row],[Health]]</f>
        <v>152.69999999999999</v>
      </c>
      <c r="AM236">
        <v>131.4</v>
      </c>
      <c r="AN236">
        <f>AVERAGE(Table1[[#This Row],[Education]],Table1[[#This Row],[Recreation and amusement]])</f>
        <v>153.85</v>
      </c>
      <c r="AO236">
        <f>Table1[[#This Row],[Miscellaneous]]</f>
        <v>144.9</v>
      </c>
      <c r="AP236" t="str">
        <f t="shared" si="7"/>
        <v>Pre-COVID</v>
      </c>
    </row>
    <row r="237" spans="1:42" x14ac:dyDescent="0.25">
      <c r="A237" t="s">
        <v>33</v>
      </c>
      <c r="B237">
        <v>2019</v>
      </c>
      <c r="C237" t="s">
        <v>41</v>
      </c>
      <c r="D237" s="3">
        <f>DATE(B237,MATCH(C237,{"January","February","March","April","May","June","July","August","September","October","November","December"},0),1)</f>
        <v>43678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  <c r="AF237">
        <f t="shared" si="6"/>
        <v>143.77692307692308</v>
      </c>
      <c r="AG237">
        <v>167.9</v>
      </c>
      <c r="AH237">
        <f>Table1[[#This Row],[Clothing and footwear]]</f>
        <v>143</v>
      </c>
      <c r="AI237">
        <v>151.6</v>
      </c>
      <c r="AJ237">
        <v>125.5</v>
      </c>
      <c r="AK237">
        <f>AVERAGE(Table1[[#This Row],[Household goods and services]],Table1[[#This Row],[Personal care and effects]])</f>
        <v>137.94999999999999</v>
      </c>
      <c r="AL237">
        <f>Table1[[#This Row],[Health]]</f>
        <v>141.5</v>
      </c>
      <c r="AM237">
        <v>120.8</v>
      </c>
      <c r="AN237">
        <f>AVERAGE(Table1[[#This Row],[Education]],Table1[[#This Row],[Recreation and amusement]])</f>
        <v>143.44999999999999</v>
      </c>
      <c r="AO237">
        <f>Table1[[#This Row],[Miscellaneous]]</f>
        <v>135.30000000000001</v>
      </c>
      <c r="AP237" t="str">
        <f t="shared" si="7"/>
        <v>Pre-COVID</v>
      </c>
    </row>
    <row r="238" spans="1:42" x14ac:dyDescent="0.25">
      <c r="A238" t="s">
        <v>34</v>
      </c>
      <c r="B238">
        <v>2019</v>
      </c>
      <c r="C238" t="s">
        <v>41</v>
      </c>
      <c r="D238" s="3">
        <f>DATE(B238,MATCH(C238,{"January","February","March","April","May","June","July","August","September","October","November","December"},0),1)</f>
        <v>43678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  <c r="AF238">
        <f t="shared" si="6"/>
        <v>142.03846153846155</v>
      </c>
      <c r="AG238">
        <v>165.8</v>
      </c>
      <c r="AH238">
        <f>Table1[[#This Row],[Clothing and footwear]]</f>
        <v>147.9</v>
      </c>
      <c r="AI238">
        <v>151.6</v>
      </c>
      <c r="AJ238">
        <v>138.5</v>
      </c>
      <c r="AK238">
        <f>AVERAGE(Table1[[#This Row],[Household goods and services]],Table1[[#This Row],[Personal care and effects]])</f>
        <v>141.44999999999999</v>
      </c>
      <c r="AL238">
        <f>Table1[[#This Row],[Health]]</f>
        <v>148.5</v>
      </c>
      <c r="AM238">
        <v>125.8</v>
      </c>
      <c r="AN238">
        <f>AVERAGE(Table1[[#This Row],[Education]],Table1[[#This Row],[Recreation and amusement]])</f>
        <v>147.9</v>
      </c>
      <c r="AO238">
        <f>Table1[[#This Row],[Miscellaneous]]</f>
        <v>140.19999999999999</v>
      </c>
      <c r="AP238" t="str">
        <f t="shared" si="7"/>
        <v>Pre-COVID</v>
      </c>
    </row>
    <row r="239" spans="1:42" x14ac:dyDescent="0.25">
      <c r="A239" t="s">
        <v>30</v>
      </c>
      <c r="B239">
        <v>2019</v>
      </c>
      <c r="C239" t="s">
        <v>42</v>
      </c>
      <c r="D239" s="3">
        <f>DATE(B239,MATCH(C239,{"January","February","March","April","May","June","July","August","September","October","November","December"},0),1)</f>
        <v>43709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>
        <v>152.19999999999999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  <c r="AF239">
        <f t="shared" si="6"/>
        <v>142.2076923076923</v>
      </c>
      <c r="AG239">
        <v>165.7</v>
      </c>
      <c r="AH239">
        <f>Table1[[#This Row],[Clothing and footwear]]</f>
        <v>151</v>
      </c>
      <c r="AI239">
        <v>152.19999999999999</v>
      </c>
      <c r="AJ239">
        <v>146.9</v>
      </c>
      <c r="AK239">
        <f>AVERAGE(Table1[[#This Row],[Household goods and services]],Table1[[#This Row],[Personal care and effects]])</f>
        <v>145.25</v>
      </c>
      <c r="AL239">
        <f>Table1[[#This Row],[Health]]</f>
        <v>153.4</v>
      </c>
      <c r="AM239">
        <v>131.6</v>
      </c>
      <c r="AN239">
        <f>AVERAGE(Table1[[#This Row],[Education]],Table1[[#This Row],[Recreation and amusement]])</f>
        <v>154.25</v>
      </c>
      <c r="AO239">
        <f>Table1[[#This Row],[Miscellaneous]]</f>
        <v>145.4</v>
      </c>
      <c r="AP239" t="str">
        <f t="shared" si="7"/>
        <v>Pre-COVID</v>
      </c>
    </row>
    <row r="240" spans="1:42" x14ac:dyDescent="0.25">
      <c r="A240" t="s">
        <v>33</v>
      </c>
      <c r="B240">
        <v>2019</v>
      </c>
      <c r="C240" t="s">
        <v>42</v>
      </c>
      <c r="D240" s="3">
        <f>DATE(B240,MATCH(C240,{"January","February","March","April","May","June","July","August","September","October","November","December"},0),1)</f>
        <v>43709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  <c r="AF240">
        <f t="shared" si="6"/>
        <v>144.22307692307692</v>
      </c>
      <c r="AG240">
        <v>168.6</v>
      </c>
      <c r="AH240">
        <f>Table1[[#This Row],[Clothing and footwear]]</f>
        <v>143.30000000000001</v>
      </c>
      <c r="AI240">
        <v>152.19999999999999</v>
      </c>
      <c r="AJ240">
        <v>126.6</v>
      </c>
      <c r="AK240">
        <f>AVERAGE(Table1[[#This Row],[Household goods and services]],Table1[[#This Row],[Personal care and effects]])</f>
        <v>138.65</v>
      </c>
      <c r="AL240">
        <f>Table1[[#This Row],[Health]]</f>
        <v>141.9</v>
      </c>
      <c r="AM240">
        <v>121.2</v>
      </c>
      <c r="AN240">
        <f>AVERAGE(Table1[[#This Row],[Education]],Table1[[#This Row],[Recreation and amusement]])</f>
        <v>143.75</v>
      </c>
      <c r="AO240">
        <f>Table1[[#This Row],[Miscellaneous]]</f>
        <v>135.69999999999999</v>
      </c>
      <c r="AP240" t="str">
        <f t="shared" si="7"/>
        <v>Pre-COVID</v>
      </c>
    </row>
    <row r="241" spans="1:42" x14ac:dyDescent="0.25">
      <c r="A241" t="s">
        <v>34</v>
      </c>
      <c r="B241">
        <v>2019</v>
      </c>
      <c r="C241" t="s">
        <v>42</v>
      </c>
      <c r="D241" s="3">
        <f>DATE(B241,MATCH(C241,{"January","February","March","April","May","June","July","August","September","October","November","December"},0),1)</f>
        <v>43709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  <c r="AF241">
        <f t="shared" si="6"/>
        <v>142.89999999999998</v>
      </c>
      <c r="AG241">
        <v>166.5</v>
      </c>
      <c r="AH241">
        <f>Table1[[#This Row],[Clothing and footwear]]</f>
        <v>147.9</v>
      </c>
      <c r="AI241">
        <v>152.19999999999999</v>
      </c>
      <c r="AJ241">
        <v>139.19999999999999</v>
      </c>
      <c r="AK241">
        <f>AVERAGE(Table1[[#This Row],[Household goods and services]],Table1[[#This Row],[Personal care and effects]])</f>
        <v>142.14999999999998</v>
      </c>
      <c r="AL241">
        <f>Table1[[#This Row],[Health]]</f>
        <v>149</v>
      </c>
      <c r="AM241">
        <v>126.1</v>
      </c>
      <c r="AN241">
        <f>AVERAGE(Table1[[#This Row],[Education]],Table1[[#This Row],[Recreation and amusement]])</f>
        <v>148.25</v>
      </c>
      <c r="AO241">
        <f>Table1[[#This Row],[Miscellaneous]]</f>
        <v>140.69999999999999</v>
      </c>
      <c r="AP241" t="str">
        <f t="shared" si="7"/>
        <v>Pre-COVID</v>
      </c>
    </row>
    <row r="242" spans="1:42" x14ac:dyDescent="0.25">
      <c r="A242" t="s">
        <v>30</v>
      </c>
      <c r="B242">
        <v>2019</v>
      </c>
      <c r="C242" t="s">
        <v>43</v>
      </c>
      <c r="D242" s="3">
        <f>DATE(B242,MATCH(C242,{"January","February","March","April","May","June","July","August","September","October","November","December"},0),1)</f>
        <v>43739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>
        <v>153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  <c r="AF242">
        <f t="shared" si="6"/>
        <v>144.37692307692305</v>
      </c>
      <c r="AG242">
        <v>166.3</v>
      </c>
      <c r="AH242">
        <f>Table1[[#This Row],[Clothing and footwear]]</f>
        <v>151</v>
      </c>
      <c r="AI242">
        <v>153</v>
      </c>
      <c r="AJ242">
        <v>147.69999999999999</v>
      </c>
      <c r="AK242">
        <f>AVERAGE(Table1[[#This Row],[Household goods and services]],Table1[[#This Row],[Personal care and effects]])</f>
        <v>145.44999999999999</v>
      </c>
      <c r="AL242">
        <f>Table1[[#This Row],[Health]]</f>
        <v>153.69999999999999</v>
      </c>
      <c r="AM242">
        <v>131.69999999999999</v>
      </c>
      <c r="AN242">
        <f>AVERAGE(Table1[[#This Row],[Education]],Table1[[#This Row],[Recreation and amusement]])</f>
        <v>154.69999999999999</v>
      </c>
      <c r="AO242">
        <f>Table1[[#This Row],[Miscellaneous]]</f>
        <v>145.69999999999999</v>
      </c>
      <c r="AP242" t="str">
        <f t="shared" si="7"/>
        <v>Pre-COVID</v>
      </c>
    </row>
    <row r="243" spans="1:42" x14ac:dyDescent="0.25">
      <c r="A243" t="s">
        <v>33</v>
      </c>
      <c r="B243">
        <v>2019</v>
      </c>
      <c r="C243" t="s">
        <v>43</v>
      </c>
      <c r="D243" s="3">
        <f>DATE(B243,MATCH(C243,{"January","February","March","April","May","June","July","August","September","October","November","December"},0),1)</f>
        <v>43739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  <c r="AF243">
        <f t="shared" si="6"/>
        <v>146.35384615384618</v>
      </c>
      <c r="AG243">
        <v>169.3</v>
      </c>
      <c r="AH243">
        <f>Table1[[#This Row],[Clothing and footwear]]</f>
        <v>143.9</v>
      </c>
      <c r="AI243">
        <v>153</v>
      </c>
      <c r="AJ243">
        <v>128.9</v>
      </c>
      <c r="AK243">
        <f>AVERAGE(Table1[[#This Row],[Household goods and services]],Table1[[#This Row],[Personal care and effects]])</f>
        <v>139.1</v>
      </c>
      <c r="AL243">
        <f>Table1[[#This Row],[Health]]</f>
        <v>142.4</v>
      </c>
      <c r="AM243">
        <v>121.5</v>
      </c>
      <c r="AN243">
        <f>AVERAGE(Table1[[#This Row],[Education]],Table1[[#This Row],[Recreation and amusement]])</f>
        <v>143.94999999999999</v>
      </c>
      <c r="AO243">
        <f>Table1[[#This Row],[Miscellaneous]]</f>
        <v>136</v>
      </c>
      <c r="AP243" t="str">
        <f t="shared" si="7"/>
        <v>Pre-COVID</v>
      </c>
    </row>
    <row r="244" spans="1:42" x14ac:dyDescent="0.25">
      <c r="A244" t="s">
        <v>34</v>
      </c>
      <c r="B244">
        <v>2019</v>
      </c>
      <c r="C244" t="s">
        <v>43</v>
      </c>
      <c r="D244" s="3">
        <f>DATE(B244,MATCH(C244,{"January","February","March","April","May","June","July","August","September","October","November","December"},0),1)</f>
        <v>43739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  <c r="AF244">
        <f t="shared" si="6"/>
        <v>145.04615384615383</v>
      </c>
      <c r="AG244">
        <v>167.1</v>
      </c>
      <c r="AH244">
        <f>Table1[[#This Row],[Clothing and footwear]]</f>
        <v>148.19999999999999</v>
      </c>
      <c r="AI244">
        <v>153</v>
      </c>
      <c r="AJ244">
        <v>140.6</v>
      </c>
      <c r="AK244">
        <f>AVERAGE(Table1[[#This Row],[Household goods and services]],Table1[[#This Row],[Personal care and effects]])</f>
        <v>142.5</v>
      </c>
      <c r="AL244">
        <f>Table1[[#This Row],[Health]]</f>
        <v>149.4</v>
      </c>
      <c r="AM244">
        <v>126.3</v>
      </c>
      <c r="AN244">
        <f>AVERAGE(Table1[[#This Row],[Education]],Table1[[#This Row],[Recreation and amusement]])</f>
        <v>148.55000000000001</v>
      </c>
      <c r="AO244">
        <f>Table1[[#This Row],[Miscellaneous]]</f>
        <v>141</v>
      </c>
      <c r="AP244" t="str">
        <f t="shared" si="7"/>
        <v>Pre-COVID</v>
      </c>
    </row>
    <row r="245" spans="1:42" x14ac:dyDescent="0.25">
      <c r="A245" t="s">
        <v>30</v>
      </c>
      <c r="B245">
        <v>2019</v>
      </c>
      <c r="C245" t="s">
        <v>45</v>
      </c>
      <c r="D245" s="3">
        <f>DATE(B245,MATCH(C245,{"January","February","March","April","May","June","July","August","September","October","November","December"},0),1)</f>
        <v>43770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>
        <v>153.5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  <c r="AF245">
        <f t="shared" si="6"/>
        <v>146.50769230769231</v>
      </c>
      <c r="AG245">
        <v>167.2</v>
      </c>
      <c r="AH245">
        <f>Table1[[#This Row],[Clothing and footwear]]</f>
        <v>151.5</v>
      </c>
      <c r="AI245">
        <v>153.5</v>
      </c>
      <c r="AJ245">
        <v>148.4</v>
      </c>
      <c r="AK245">
        <f>AVERAGE(Table1[[#This Row],[Household goods and services]],Table1[[#This Row],[Personal care and effects]])</f>
        <v>145.75</v>
      </c>
      <c r="AL245">
        <f>Table1[[#This Row],[Health]]</f>
        <v>154.30000000000001</v>
      </c>
      <c r="AM245">
        <v>132.1</v>
      </c>
      <c r="AN245">
        <f>AVERAGE(Table1[[#This Row],[Education]],Table1[[#This Row],[Recreation and amusement]])</f>
        <v>154.94999999999999</v>
      </c>
      <c r="AO245">
        <f>Table1[[#This Row],[Miscellaneous]]</f>
        <v>146.1</v>
      </c>
      <c r="AP245" t="str">
        <f t="shared" si="7"/>
        <v>Pre-COVID</v>
      </c>
    </row>
    <row r="246" spans="1:42" x14ac:dyDescent="0.25">
      <c r="A246" t="s">
        <v>33</v>
      </c>
      <c r="B246">
        <v>2019</v>
      </c>
      <c r="C246" t="s">
        <v>45</v>
      </c>
      <c r="D246" s="3">
        <f>DATE(B246,MATCH(C246,{"January","February","March","April","May","June","July","August","September","October","November","December"},0),1)</f>
        <v>43770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  <c r="AF246">
        <f t="shared" si="6"/>
        <v>147.99999999999997</v>
      </c>
      <c r="AG246">
        <v>169.9</v>
      </c>
      <c r="AH246">
        <f>Table1[[#This Row],[Clothing and footwear]]</f>
        <v>144.19999999999999</v>
      </c>
      <c r="AI246">
        <v>153.5</v>
      </c>
      <c r="AJ246">
        <v>132.19999999999999</v>
      </c>
      <c r="AK246">
        <f>AVERAGE(Table1[[#This Row],[Household goods and services]],Table1[[#This Row],[Personal care and effects]])</f>
        <v>139.44999999999999</v>
      </c>
      <c r="AL246">
        <f>Table1[[#This Row],[Health]]</f>
        <v>142.80000000000001</v>
      </c>
      <c r="AM246">
        <v>121.7</v>
      </c>
      <c r="AN246">
        <f>AVERAGE(Table1[[#This Row],[Education]],Table1[[#This Row],[Recreation and amusement]])</f>
        <v>144.25</v>
      </c>
      <c r="AO246">
        <f>Table1[[#This Row],[Miscellaneous]]</f>
        <v>136.30000000000001</v>
      </c>
      <c r="AP246" t="str">
        <f t="shared" si="7"/>
        <v>Pre-COVID</v>
      </c>
    </row>
    <row r="247" spans="1:42" x14ac:dyDescent="0.25">
      <c r="A247" t="s">
        <v>34</v>
      </c>
      <c r="B247">
        <v>2019</v>
      </c>
      <c r="C247" t="s">
        <v>45</v>
      </c>
      <c r="D247" s="3">
        <f>DATE(B247,MATCH(C247,{"January","February","March","April","May","June","July","August","September","October","November","December"},0),1)</f>
        <v>43770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  <c r="AF247">
        <f t="shared" si="6"/>
        <v>146.99230769230769</v>
      </c>
      <c r="AG247">
        <v>167.9</v>
      </c>
      <c r="AH247">
        <f>Table1[[#This Row],[Clothing and footwear]]</f>
        <v>148.6</v>
      </c>
      <c r="AI247">
        <v>153.5</v>
      </c>
      <c r="AJ247">
        <v>142.30000000000001</v>
      </c>
      <c r="AK247">
        <f>AVERAGE(Table1[[#This Row],[Household goods and services]],Table1[[#This Row],[Personal care and effects]])</f>
        <v>142.80000000000001</v>
      </c>
      <c r="AL247">
        <f>Table1[[#This Row],[Health]]</f>
        <v>149.9</v>
      </c>
      <c r="AM247">
        <v>126.6</v>
      </c>
      <c r="AN247">
        <f>AVERAGE(Table1[[#This Row],[Education]],Table1[[#This Row],[Recreation and amusement]])</f>
        <v>148.80000000000001</v>
      </c>
      <c r="AO247">
        <f>Table1[[#This Row],[Miscellaneous]]</f>
        <v>141.30000000000001</v>
      </c>
      <c r="AP247" t="str">
        <f t="shared" si="7"/>
        <v>Pre-COVID</v>
      </c>
    </row>
    <row r="248" spans="1:42" x14ac:dyDescent="0.25">
      <c r="A248" t="s">
        <v>30</v>
      </c>
      <c r="B248">
        <v>2019</v>
      </c>
      <c r="C248" t="s">
        <v>46</v>
      </c>
      <c r="D248" s="3">
        <f>DATE(B248,MATCH(C248,{"January","February","March","April","May","June","July","August","September","October","November","December"},0),1)</f>
        <v>43800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>
        <v>152.80000000000001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  <c r="AF248">
        <f t="shared" si="6"/>
        <v>149.30769230769226</v>
      </c>
      <c r="AG248">
        <v>167.8</v>
      </c>
      <c r="AH248">
        <f>Table1[[#This Row],[Clothing and footwear]]</f>
        <v>151.9</v>
      </c>
      <c r="AI248">
        <v>152.80000000000001</v>
      </c>
      <c r="AJ248">
        <v>149.9</v>
      </c>
      <c r="AK248">
        <f>AVERAGE(Table1[[#This Row],[Household goods and services]],Table1[[#This Row],[Personal care and effects]])</f>
        <v>145.89999999999998</v>
      </c>
      <c r="AL248">
        <f>Table1[[#This Row],[Health]]</f>
        <v>154.80000000000001</v>
      </c>
      <c r="AM248">
        <v>135</v>
      </c>
      <c r="AN248">
        <f>AVERAGE(Table1[[#This Row],[Education]],Table1[[#This Row],[Recreation and amusement]])</f>
        <v>155.30000000000001</v>
      </c>
      <c r="AO248">
        <f>Table1[[#This Row],[Miscellaneous]]</f>
        <v>147.1</v>
      </c>
      <c r="AP248" t="str">
        <f t="shared" si="7"/>
        <v>Pre-COVID</v>
      </c>
    </row>
    <row r="249" spans="1:42" x14ac:dyDescent="0.25">
      <c r="A249" t="s">
        <v>33</v>
      </c>
      <c r="B249">
        <v>2019</v>
      </c>
      <c r="C249" t="s">
        <v>46</v>
      </c>
      <c r="D249" s="3">
        <f>DATE(B249,MATCH(C249,{"January","February","March","April","May","June","July","August","September","October","November","December"},0),1)</f>
        <v>43800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  <c r="AF249">
        <f t="shared" si="6"/>
        <v>150.51538461538462</v>
      </c>
      <c r="AG249">
        <v>170.4</v>
      </c>
      <c r="AH249">
        <f>Table1[[#This Row],[Clothing and footwear]]</f>
        <v>144.6</v>
      </c>
      <c r="AI249">
        <v>152.80000000000001</v>
      </c>
      <c r="AJ249">
        <v>133.6</v>
      </c>
      <c r="AK249">
        <f>AVERAGE(Table1[[#This Row],[Household goods and services]],Table1[[#This Row],[Personal care and effects]])</f>
        <v>140</v>
      </c>
      <c r="AL249">
        <f>Table1[[#This Row],[Health]]</f>
        <v>143.19999999999999</v>
      </c>
      <c r="AM249">
        <v>125.2</v>
      </c>
      <c r="AN249">
        <f>AVERAGE(Table1[[#This Row],[Education]],Table1[[#This Row],[Recreation and amusement]])</f>
        <v>144.35000000000002</v>
      </c>
      <c r="AO249">
        <f>Table1[[#This Row],[Miscellaneous]]</f>
        <v>137.69999999999999</v>
      </c>
      <c r="AP249" t="str">
        <f t="shared" si="7"/>
        <v>Pre-COVID</v>
      </c>
    </row>
    <row r="250" spans="1:42" x14ac:dyDescent="0.25">
      <c r="A250" t="s">
        <v>34</v>
      </c>
      <c r="B250">
        <v>2019</v>
      </c>
      <c r="C250" t="s">
        <v>46</v>
      </c>
      <c r="D250" s="3">
        <f>DATE(B250,MATCH(C250,{"January","February","March","April","May","June","July","August","September","October","November","December"},0),1)</f>
        <v>43800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  <c r="AF250">
        <f t="shared" si="6"/>
        <v>149.70000000000002</v>
      </c>
      <c r="AG250">
        <v>168.5</v>
      </c>
      <c r="AH250">
        <f>Table1[[#This Row],[Clothing and footwear]]</f>
        <v>149</v>
      </c>
      <c r="AI250">
        <v>152.80000000000001</v>
      </c>
      <c r="AJ250">
        <v>143.69999999999999</v>
      </c>
      <c r="AK250">
        <f>AVERAGE(Table1[[#This Row],[Household goods and services]],Table1[[#This Row],[Personal care and effects]])</f>
        <v>143.10000000000002</v>
      </c>
      <c r="AL250">
        <f>Table1[[#This Row],[Health]]</f>
        <v>150.4</v>
      </c>
      <c r="AM250">
        <v>129.80000000000001</v>
      </c>
      <c r="AN250">
        <f>AVERAGE(Table1[[#This Row],[Education]],Table1[[#This Row],[Recreation and amusement]])</f>
        <v>149</v>
      </c>
      <c r="AO250">
        <f>Table1[[#This Row],[Miscellaneous]]</f>
        <v>142.5</v>
      </c>
      <c r="AP250" t="str">
        <f t="shared" si="7"/>
        <v>Pre-COVID</v>
      </c>
    </row>
    <row r="251" spans="1:42" x14ac:dyDescent="0.25">
      <c r="A251" t="s">
        <v>30</v>
      </c>
      <c r="B251">
        <v>2020</v>
      </c>
      <c r="C251" t="s">
        <v>31</v>
      </c>
      <c r="D251" s="3">
        <f>DATE(B251,MATCH(C251,{"January","February","March","April","May","June","July","August","September","October","November","December"},0),1)</f>
        <v>43831</v>
      </c>
      <c r="E251">
        <v>143.69999999999999</v>
      </c>
      <c r="F251">
        <v>167.3</v>
      </c>
      <c r="G251">
        <v>153.5</v>
      </c>
      <c r="H251">
        <v>150.5</v>
      </c>
      <c r="I251">
        <v>132</v>
      </c>
      <c r="J251">
        <v>142.19999999999999</v>
      </c>
      <c r="K251">
        <v>191.5</v>
      </c>
      <c r="L251">
        <v>141.1</v>
      </c>
      <c r="M251">
        <v>113.8</v>
      </c>
      <c r="N251">
        <v>151.6</v>
      </c>
      <c r="O251">
        <v>139.69999999999999</v>
      </c>
      <c r="P251">
        <v>158.69999999999999</v>
      </c>
      <c r="Q251">
        <v>153</v>
      </c>
      <c r="R251">
        <v>168.6</v>
      </c>
      <c r="S251">
        <v>152.80000000000001</v>
      </c>
      <c r="T251">
        <v>147.4</v>
      </c>
      <c r="U251">
        <v>152.1</v>
      </c>
      <c r="V251">
        <v>153.9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  <c r="AF251">
        <f t="shared" si="6"/>
        <v>149.12307692307692</v>
      </c>
      <c r="AG251">
        <v>168.6</v>
      </c>
      <c r="AH251">
        <f>Table1[[#This Row],[Clothing and footwear]]</f>
        <v>152.1</v>
      </c>
      <c r="AI251">
        <v>153.9</v>
      </c>
      <c r="AJ251">
        <v>150.4</v>
      </c>
      <c r="AK251">
        <f>AVERAGE(Table1[[#This Row],[Household goods and services]],Table1[[#This Row],[Personal care and effects]])</f>
        <v>147.1</v>
      </c>
      <c r="AL251">
        <f>Table1[[#This Row],[Health]]</f>
        <v>155.69999999999999</v>
      </c>
      <c r="AM251">
        <v>136.30000000000001</v>
      </c>
      <c r="AN251">
        <f>AVERAGE(Table1[[#This Row],[Education]],Table1[[#This Row],[Recreation and amusement]])</f>
        <v>155.89999999999998</v>
      </c>
      <c r="AO251">
        <f>Table1[[#This Row],[Miscellaneous]]</f>
        <v>148.1</v>
      </c>
      <c r="AP251" t="str">
        <f t="shared" si="7"/>
        <v>Pre-COVID</v>
      </c>
    </row>
    <row r="252" spans="1:42" x14ac:dyDescent="0.25">
      <c r="A252" t="s">
        <v>33</v>
      </c>
      <c r="B252">
        <v>2020</v>
      </c>
      <c r="C252" t="s">
        <v>31</v>
      </c>
      <c r="D252" s="3">
        <f>DATE(B252,MATCH(C252,{"January","February","March","April","May","June","July","August","September","October","November","December"},0),1)</f>
        <v>43831</v>
      </c>
      <c r="E252">
        <v>145.6</v>
      </c>
      <c r="F252">
        <v>167.6</v>
      </c>
      <c r="G252">
        <v>157</v>
      </c>
      <c r="H252">
        <v>149.30000000000001</v>
      </c>
      <c r="I252">
        <v>126.3</v>
      </c>
      <c r="J252">
        <v>144.4</v>
      </c>
      <c r="K252">
        <v>207.8</v>
      </c>
      <c r="L252">
        <v>139.1</v>
      </c>
      <c r="M252">
        <v>114.8</v>
      </c>
      <c r="N252">
        <v>149.5</v>
      </c>
      <c r="O252">
        <v>131.1</v>
      </c>
      <c r="P252">
        <v>158.5</v>
      </c>
      <c r="Q252">
        <v>154.4</v>
      </c>
      <c r="R252">
        <v>170.8</v>
      </c>
      <c r="S252">
        <v>147</v>
      </c>
      <c r="T252">
        <v>133.19999999999999</v>
      </c>
      <c r="U252">
        <v>144.9</v>
      </c>
      <c r="V252"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  <c r="AF252">
        <f t="shared" si="6"/>
        <v>149.64615384615382</v>
      </c>
      <c r="AG252">
        <v>170.8</v>
      </c>
      <c r="AH252">
        <f>Table1[[#This Row],[Clothing and footwear]]</f>
        <v>144.9</v>
      </c>
      <c r="AI252">
        <v>153.9</v>
      </c>
      <c r="AJ252">
        <v>135.1</v>
      </c>
      <c r="AK252">
        <f>AVERAGE(Table1[[#This Row],[Household goods and services]],Table1[[#This Row],[Personal care and effects]])</f>
        <v>141.1</v>
      </c>
      <c r="AL252">
        <f>Table1[[#This Row],[Health]]</f>
        <v>143.80000000000001</v>
      </c>
      <c r="AM252">
        <v>126.1</v>
      </c>
      <c r="AN252">
        <f>AVERAGE(Table1[[#This Row],[Education]],Table1[[#This Row],[Recreation and amusement]])</f>
        <v>144.64999999999998</v>
      </c>
      <c r="AO252">
        <f>Table1[[#This Row],[Miscellaneous]]</f>
        <v>138.4</v>
      </c>
      <c r="AP252" t="str">
        <f t="shared" si="7"/>
        <v>Pre-COVID</v>
      </c>
    </row>
    <row r="253" spans="1:42" x14ac:dyDescent="0.25">
      <c r="A253" t="s">
        <v>34</v>
      </c>
      <c r="B253">
        <v>2020</v>
      </c>
      <c r="C253" t="s">
        <v>31</v>
      </c>
      <c r="D253" s="3">
        <f>DATE(B253,MATCH(C253,{"January","February","March","April","May","June","July","August","September","October","November","December"},0),1)</f>
        <v>43831</v>
      </c>
      <c r="E253">
        <v>144.30000000000001</v>
      </c>
      <c r="F253">
        <v>167.4</v>
      </c>
      <c r="G253">
        <v>154.9</v>
      </c>
      <c r="H253">
        <v>150.1</v>
      </c>
      <c r="I253">
        <v>129.9</v>
      </c>
      <c r="J253">
        <v>143.19999999999999</v>
      </c>
      <c r="K253">
        <v>197</v>
      </c>
      <c r="L253">
        <v>140.4</v>
      </c>
      <c r="M253">
        <v>114.1</v>
      </c>
      <c r="N253">
        <v>150.9</v>
      </c>
      <c r="O253">
        <v>136.1</v>
      </c>
      <c r="P253">
        <v>158.6</v>
      </c>
      <c r="Q253">
        <v>153.5</v>
      </c>
      <c r="R253">
        <v>169.2</v>
      </c>
      <c r="S253">
        <v>150.5</v>
      </c>
      <c r="T253">
        <v>141.5</v>
      </c>
      <c r="U253">
        <v>149.19999999999999</v>
      </c>
      <c r="V253"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  <c r="AF253">
        <f t="shared" si="6"/>
        <v>149.26153846153846</v>
      </c>
      <c r="AG253">
        <v>169.2</v>
      </c>
      <c r="AH253">
        <f>Table1[[#This Row],[Clothing and footwear]]</f>
        <v>149.19999999999999</v>
      </c>
      <c r="AI253">
        <v>153.9</v>
      </c>
      <c r="AJ253">
        <v>144.6</v>
      </c>
      <c r="AK253">
        <f>AVERAGE(Table1[[#This Row],[Household goods and services]],Table1[[#This Row],[Personal care and effects]])</f>
        <v>144.25</v>
      </c>
      <c r="AL253">
        <f>Table1[[#This Row],[Health]]</f>
        <v>151.19999999999999</v>
      </c>
      <c r="AM253">
        <v>130.9</v>
      </c>
      <c r="AN253">
        <f>AVERAGE(Table1[[#This Row],[Education]],Table1[[#This Row],[Recreation and amusement]])</f>
        <v>149.44999999999999</v>
      </c>
      <c r="AO253">
        <f>Table1[[#This Row],[Miscellaneous]]</f>
        <v>143.4</v>
      </c>
      <c r="AP253" t="str">
        <f t="shared" si="7"/>
        <v>Pre-COVID</v>
      </c>
    </row>
    <row r="254" spans="1:42" x14ac:dyDescent="0.25">
      <c r="A254" t="s">
        <v>30</v>
      </c>
      <c r="B254">
        <v>2020</v>
      </c>
      <c r="C254" t="s">
        <v>35</v>
      </c>
      <c r="D254" s="3">
        <f>DATE(B254,MATCH(C254,{"January","February","March","April","May","June","July","August","September","October","November","December"},0),1)</f>
        <v>43862</v>
      </c>
      <c r="E254">
        <v>144.19999999999999</v>
      </c>
      <c r="F254">
        <v>167.5</v>
      </c>
      <c r="G254">
        <v>150.9</v>
      </c>
      <c r="H254">
        <v>150.9</v>
      </c>
      <c r="I254">
        <v>133.69999999999999</v>
      </c>
      <c r="J254">
        <v>140.69999999999999</v>
      </c>
      <c r="K254">
        <v>165.1</v>
      </c>
      <c r="L254">
        <v>141.80000000000001</v>
      </c>
      <c r="M254">
        <v>113.1</v>
      </c>
      <c r="N254">
        <v>152.80000000000001</v>
      </c>
      <c r="O254">
        <v>140.1</v>
      </c>
      <c r="P254">
        <v>159.19999999999999</v>
      </c>
      <c r="Q254">
        <v>149.80000000000001</v>
      </c>
      <c r="R254">
        <v>169.4</v>
      </c>
      <c r="S254">
        <v>153</v>
      </c>
      <c r="T254">
        <v>147.5</v>
      </c>
      <c r="U254">
        <v>152.30000000000001</v>
      </c>
      <c r="V254">
        <v>154.80000000000001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  <c r="AF254">
        <f t="shared" si="6"/>
        <v>146.90769230769229</v>
      </c>
      <c r="AG254">
        <v>169.4</v>
      </c>
      <c r="AH254">
        <f>Table1[[#This Row],[Clothing and footwear]]</f>
        <v>152.30000000000001</v>
      </c>
      <c r="AI254">
        <v>154.80000000000001</v>
      </c>
      <c r="AJ254">
        <v>152.30000000000001</v>
      </c>
      <c r="AK254">
        <f>AVERAGE(Table1[[#This Row],[Household goods and services]],Table1[[#This Row],[Personal care and effects]])</f>
        <v>147.60000000000002</v>
      </c>
      <c r="AL254">
        <f>Table1[[#This Row],[Health]]</f>
        <v>156.19999999999999</v>
      </c>
      <c r="AM254">
        <v>136</v>
      </c>
      <c r="AN254">
        <f>AVERAGE(Table1[[#This Row],[Education]],Table1[[#This Row],[Recreation and amusement]])</f>
        <v>156.15</v>
      </c>
      <c r="AO254">
        <f>Table1[[#This Row],[Miscellaneous]]</f>
        <v>148.4</v>
      </c>
      <c r="AP254" t="str">
        <f t="shared" si="7"/>
        <v>Pre-COVID</v>
      </c>
    </row>
    <row r="255" spans="1:42" x14ac:dyDescent="0.25">
      <c r="A255" t="s">
        <v>33</v>
      </c>
      <c r="B255">
        <v>2020</v>
      </c>
      <c r="C255" t="s">
        <v>35</v>
      </c>
      <c r="D255" s="3">
        <f>DATE(B255,MATCH(C255,{"January","February","March","April","May","June","July","August","September","October","November","December"},0),1)</f>
        <v>43862</v>
      </c>
      <c r="E255">
        <v>146.19999999999999</v>
      </c>
      <c r="F255">
        <v>167.6</v>
      </c>
      <c r="G255">
        <v>153.1</v>
      </c>
      <c r="H255">
        <v>150.69999999999999</v>
      </c>
      <c r="I255">
        <v>127.4</v>
      </c>
      <c r="J255">
        <v>143.1</v>
      </c>
      <c r="K255">
        <v>181.7</v>
      </c>
      <c r="L255">
        <v>139.6</v>
      </c>
      <c r="M255">
        <v>114.6</v>
      </c>
      <c r="N255">
        <v>150.4</v>
      </c>
      <c r="O255">
        <v>131.5</v>
      </c>
      <c r="P255">
        <v>159</v>
      </c>
      <c r="Q255">
        <v>151.69999999999999</v>
      </c>
      <c r="R255">
        <v>172</v>
      </c>
      <c r="S255">
        <v>147.30000000000001</v>
      </c>
      <c r="T255">
        <v>133.5</v>
      </c>
      <c r="U255">
        <v>145.19999999999999</v>
      </c>
      <c r="V255"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  <c r="AF255">
        <f t="shared" si="6"/>
        <v>147.43076923076922</v>
      </c>
      <c r="AG255">
        <v>172</v>
      </c>
      <c r="AH255">
        <f>Table1[[#This Row],[Clothing and footwear]]</f>
        <v>145.19999999999999</v>
      </c>
      <c r="AI255">
        <v>154.80000000000001</v>
      </c>
      <c r="AJ255">
        <v>138.9</v>
      </c>
      <c r="AK255">
        <f>AVERAGE(Table1[[#This Row],[Household goods and services]],Table1[[#This Row],[Personal care and effects]])</f>
        <v>141.94999999999999</v>
      </c>
      <c r="AL255">
        <f>Table1[[#This Row],[Health]]</f>
        <v>144.4</v>
      </c>
      <c r="AM255">
        <v>125.2</v>
      </c>
      <c r="AN255">
        <f>AVERAGE(Table1[[#This Row],[Education]],Table1[[#This Row],[Recreation and amusement]])</f>
        <v>144.94999999999999</v>
      </c>
      <c r="AO255">
        <f>Table1[[#This Row],[Miscellaneous]]</f>
        <v>138.4</v>
      </c>
      <c r="AP255" t="str">
        <f t="shared" si="7"/>
        <v>Pre-COVID</v>
      </c>
    </row>
    <row r="256" spans="1:42" x14ac:dyDescent="0.25">
      <c r="A256" t="s">
        <v>34</v>
      </c>
      <c r="B256">
        <v>2020</v>
      </c>
      <c r="C256" t="s">
        <v>35</v>
      </c>
      <c r="D256" s="3">
        <f>DATE(B256,MATCH(C256,{"January","February","March","April","May","June","July","August","September","October","November","December"},0),1)</f>
        <v>43862</v>
      </c>
      <c r="E256">
        <v>144.80000000000001</v>
      </c>
      <c r="F256">
        <v>167.5</v>
      </c>
      <c r="G256">
        <v>151.80000000000001</v>
      </c>
      <c r="H256">
        <v>150.80000000000001</v>
      </c>
      <c r="I256">
        <v>131.4</v>
      </c>
      <c r="J256">
        <v>141.80000000000001</v>
      </c>
      <c r="K256">
        <v>170.7</v>
      </c>
      <c r="L256">
        <v>141.1</v>
      </c>
      <c r="M256">
        <v>113.6</v>
      </c>
      <c r="N256">
        <v>152</v>
      </c>
      <c r="O256">
        <v>136.5</v>
      </c>
      <c r="P256">
        <v>159.1</v>
      </c>
      <c r="Q256">
        <v>150.5</v>
      </c>
      <c r="R256">
        <v>170.1</v>
      </c>
      <c r="S256">
        <v>150.80000000000001</v>
      </c>
      <c r="T256">
        <v>141.69999999999999</v>
      </c>
      <c r="U256">
        <v>149.5</v>
      </c>
      <c r="V256"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  <c r="AF256">
        <f t="shared" si="6"/>
        <v>147.04615384615383</v>
      </c>
      <c r="AG256">
        <v>170.1</v>
      </c>
      <c r="AH256">
        <f>Table1[[#This Row],[Clothing and footwear]]</f>
        <v>149.5</v>
      </c>
      <c r="AI256">
        <v>154.80000000000001</v>
      </c>
      <c r="AJ256">
        <v>147.19999999999999</v>
      </c>
      <c r="AK256">
        <f>AVERAGE(Table1[[#This Row],[Household goods and services]],Table1[[#This Row],[Personal care and effects]])</f>
        <v>144.9</v>
      </c>
      <c r="AL256">
        <f>Table1[[#This Row],[Health]]</f>
        <v>151.69999999999999</v>
      </c>
      <c r="AM256">
        <v>130.30000000000001</v>
      </c>
      <c r="AN256">
        <f>AVERAGE(Table1[[#This Row],[Education]],Table1[[#This Row],[Recreation and amusement]])</f>
        <v>149.69999999999999</v>
      </c>
      <c r="AO256">
        <f>Table1[[#This Row],[Miscellaneous]]</f>
        <v>143.6</v>
      </c>
      <c r="AP256" t="str">
        <f t="shared" si="7"/>
        <v>Pre-COVID</v>
      </c>
    </row>
    <row r="257" spans="1:42" x14ac:dyDescent="0.25">
      <c r="A257" t="s">
        <v>30</v>
      </c>
      <c r="B257">
        <v>2020</v>
      </c>
      <c r="C257" t="s">
        <v>36</v>
      </c>
      <c r="D257" s="3">
        <f>DATE(B257,MATCH(C257,{"January","February","March","April","May","June","July","August","September","October","November","December"},0),1)</f>
        <v>43891</v>
      </c>
      <c r="E257">
        <v>144.4</v>
      </c>
      <c r="F257">
        <v>166.8</v>
      </c>
      <c r="G257">
        <v>147.6</v>
      </c>
      <c r="H257">
        <v>151.69999999999999</v>
      </c>
      <c r="I257">
        <v>133.30000000000001</v>
      </c>
      <c r="J257">
        <v>141.80000000000001</v>
      </c>
      <c r="K257">
        <v>152.30000000000001</v>
      </c>
      <c r="L257">
        <v>141.80000000000001</v>
      </c>
      <c r="M257">
        <v>112.6</v>
      </c>
      <c r="N257">
        <v>154</v>
      </c>
      <c r="O257">
        <v>140.1</v>
      </c>
      <c r="P257">
        <v>160</v>
      </c>
      <c r="Q257">
        <v>148.19999999999999</v>
      </c>
      <c r="R257">
        <v>170.5</v>
      </c>
      <c r="S257">
        <v>153.4</v>
      </c>
      <c r="T257">
        <v>147.6</v>
      </c>
      <c r="U257">
        <v>152.5</v>
      </c>
      <c r="V257">
        <v>154.5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  <c r="AF257">
        <f t="shared" si="6"/>
        <v>145.73846153846151</v>
      </c>
      <c r="AG257">
        <v>170.5</v>
      </c>
      <c r="AH257">
        <f>Table1[[#This Row],[Clothing and footwear]]</f>
        <v>152.5</v>
      </c>
      <c r="AI257">
        <v>154.5</v>
      </c>
      <c r="AJ257">
        <v>153.4</v>
      </c>
      <c r="AK257">
        <f>AVERAGE(Table1[[#This Row],[Household goods and services]],Table1[[#This Row],[Personal care and effects]])</f>
        <v>148.30000000000001</v>
      </c>
      <c r="AL257">
        <f>Table1[[#This Row],[Health]]</f>
        <v>156.69999999999999</v>
      </c>
      <c r="AM257">
        <v>135.80000000000001</v>
      </c>
      <c r="AN257">
        <f>AVERAGE(Table1[[#This Row],[Education]],Table1[[#This Row],[Recreation and amusement]])</f>
        <v>156.19999999999999</v>
      </c>
      <c r="AO257">
        <f>Table1[[#This Row],[Miscellaneous]]</f>
        <v>148.6</v>
      </c>
      <c r="AP257" t="str">
        <f t="shared" si="7"/>
        <v>COVID Onset</v>
      </c>
    </row>
    <row r="258" spans="1:42" x14ac:dyDescent="0.25">
      <c r="A258" t="s">
        <v>33</v>
      </c>
      <c r="B258">
        <v>2020</v>
      </c>
      <c r="C258" t="s">
        <v>36</v>
      </c>
      <c r="D258" s="3">
        <f>DATE(B258,MATCH(C258,{"January","February","March","April","May","June","July","August","September","October","November","December"},0),1)</f>
        <v>43891</v>
      </c>
      <c r="E258">
        <v>146.5</v>
      </c>
      <c r="F258">
        <v>167.5</v>
      </c>
      <c r="G258">
        <v>148.9</v>
      </c>
      <c r="H258">
        <v>151.1</v>
      </c>
      <c r="I258">
        <v>127.5</v>
      </c>
      <c r="J258">
        <v>143.30000000000001</v>
      </c>
      <c r="K258">
        <v>167</v>
      </c>
      <c r="L258">
        <v>139.69999999999999</v>
      </c>
      <c r="M258">
        <v>114.4</v>
      </c>
      <c r="N258">
        <v>151.5</v>
      </c>
      <c r="O258">
        <v>131.9</v>
      </c>
      <c r="P258">
        <v>159.1</v>
      </c>
      <c r="Q258">
        <v>150.1</v>
      </c>
      <c r="R258">
        <v>173.3</v>
      </c>
      <c r="S258">
        <v>147.69999999999999</v>
      </c>
      <c r="T258">
        <v>133.80000000000001</v>
      </c>
      <c r="U258">
        <v>145.6</v>
      </c>
      <c r="V258"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  <c r="AF258">
        <f t="shared" ref="AF258:AF321" si="8">AVERAGE(E258:Q258)</f>
        <v>146.03846153846155</v>
      </c>
      <c r="AG258">
        <v>173.3</v>
      </c>
      <c r="AH258">
        <f>Table1[[#This Row],[Clothing and footwear]]</f>
        <v>145.6</v>
      </c>
      <c r="AI258">
        <v>154.5</v>
      </c>
      <c r="AJ258">
        <v>141.4</v>
      </c>
      <c r="AK258">
        <f>AVERAGE(Table1[[#This Row],[Household goods and services]],Table1[[#This Row],[Personal care and effects]])</f>
        <v>143.05000000000001</v>
      </c>
      <c r="AL258">
        <f>Table1[[#This Row],[Health]]</f>
        <v>145</v>
      </c>
      <c r="AM258">
        <v>124.6</v>
      </c>
      <c r="AN258">
        <f>AVERAGE(Table1[[#This Row],[Education]],Table1[[#This Row],[Recreation and amusement]])</f>
        <v>145.19999999999999</v>
      </c>
      <c r="AO258">
        <f>Table1[[#This Row],[Miscellaneous]]</f>
        <v>138.69999999999999</v>
      </c>
      <c r="AP258" t="str">
        <f t="shared" ref="AP258:AP321" si="9">IF(D258&lt;DATE(2020,3,1),"Pre-COVID",IF(D258=DATE(2020,3,1),"COVID Onset",IF(D258&lt;=DATE(2020,5,31),"Lockdown","Post-COVID")))</f>
        <v>COVID Onset</v>
      </c>
    </row>
    <row r="259" spans="1:42" x14ac:dyDescent="0.25">
      <c r="A259" t="s">
        <v>34</v>
      </c>
      <c r="B259">
        <v>2020</v>
      </c>
      <c r="C259" t="s">
        <v>36</v>
      </c>
      <c r="D259" s="3">
        <f>DATE(B259,MATCH(C259,{"January","February","March","April","May","June","July","August","September","October","November","December"},0),1)</f>
        <v>43891</v>
      </c>
      <c r="E259">
        <v>145.1</v>
      </c>
      <c r="F259">
        <v>167</v>
      </c>
      <c r="G259">
        <v>148.1</v>
      </c>
      <c r="H259">
        <v>151.5</v>
      </c>
      <c r="I259">
        <v>131.19999999999999</v>
      </c>
      <c r="J259">
        <v>142.5</v>
      </c>
      <c r="K259">
        <v>157.30000000000001</v>
      </c>
      <c r="L259">
        <v>141.1</v>
      </c>
      <c r="M259">
        <v>113.2</v>
      </c>
      <c r="N259">
        <v>153.19999999999999</v>
      </c>
      <c r="O259">
        <v>136.69999999999999</v>
      </c>
      <c r="P259">
        <v>159.6</v>
      </c>
      <c r="Q259">
        <v>148.9</v>
      </c>
      <c r="R259">
        <v>171.2</v>
      </c>
      <c r="S259">
        <v>151.19999999999999</v>
      </c>
      <c r="T259">
        <v>141.9</v>
      </c>
      <c r="U259">
        <v>149.80000000000001</v>
      </c>
      <c r="V259"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  <c r="AF259">
        <f t="shared" si="8"/>
        <v>145.80000000000001</v>
      </c>
      <c r="AG259">
        <v>171.2</v>
      </c>
      <c r="AH259">
        <f>Table1[[#This Row],[Clothing and footwear]]</f>
        <v>149.80000000000001</v>
      </c>
      <c r="AI259">
        <v>154.5</v>
      </c>
      <c r="AJ259">
        <v>148.9</v>
      </c>
      <c r="AK259">
        <f>AVERAGE(Table1[[#This Row],[Household goods and services]],Table1[[#This Row],[Personal care and effects]])</f>
        <v>145.80000000000001</v>
      </c>
      <c r="AL259">
        <f>Table1[[#This Row],[Health]]</f>
        <v>152.30000000000001</v>
      </c>
      <c r="AM259">
        <v>129.9</v>
      </c>
      <c r="AN259">
        <f>AVERAGE(Table1[[#This Row],[Education]],Table1[[#This Row],[Recreation and amusement]])</f>
        <v>149.89999999999998</v>
      </c>
      <c r="AO259">
        <f>Table1[[#This Row],[Miscellaneous]]</f>
        <v>143.80000000000001</v>
      </c>
      <c r="AP259" t="str">
        <f t="shared" si="9"/>
        <v>COVID Onset</v>
      </c>
    </row>
    <row r="260" spans="1:42" x14ac:dyDescent="0.25">
      <c r="A260" t="s">
        <v>30</v>
      </c>
      <c r="B260">
        <v>2020</v>
      </c>
      <c r="C260" t="s">
        <v>37</v>
      </c>
      <c r="D260" s="3">
        <f>DATE(B260,MATCH(C260,{"January","February","March","April","May","June","July","August","September","October","November","December"},0),1)</f>
        <v>43922</v>
      </c>
      <c r="E260">
        <v>147.19999999999999</v>
      </c>
      <c r="F260">
        <v>174.63</v>
      </c>
      <c r="G260">
        <v>146.9</v>
      </c>
      <c r="H260">
        <v>155.6</v>
      </c>
      <c r="I260">
        <v>137.1</v>
      </c>
      <c r="J260">
        <v>147.30000000000001</v>
      </c>
      <c r="K260">
        <v>162.69999999999999</v>
      </c>
      <c r="L260">
        <v>150.19999999999999</v>
      </c>
      <c r="M260">
        <v>119.8</v>
      </c>
      <c r="N260">
        <v>158.69999999999999</v>
      </c>
      <c r="O260">
        <v>139.19999999999999</v>
      </c>
      <c r="P260">
        <v>160.6</v>
      </c>
      <c r="Q260">
        <v>150.1</v>
      </c>
      <c r="R260">
        <v>174.47</v>
      </c>
      <c r="S260">
        <v>153.83000000000001</v>
      </c>
      <c r="T260">
        <v>148.4</v>
      </c>
      <c r="U260">
        <v>153.03</v>
      </c>
      <c r="V260">
        <v>155.6</v>
      </c>
      <c r="W260">
        <v>148.4</v>
      </c>
      <c r="X260">
        <v>151.57</v>
      </c>
      <c r="Y260">
        <v>154.30000000000001</v>
      </c>
      <c r="Z260">
        <v>137.66999999999999</v>
      </c>
      <c r="AA260">
        <v>151.87</v>
      </c>
      <c r="AB260">
        <v>161.4</v>
      </c>
      <c r="AC260" s="4">
        <f t="shared" ref="AC260:AE262" si="10">AC257+(AC266-AC257)/3</f>
        <v>147.13333333333333</v>
      </c>
      <c r="AD260" s="4">
        <f t="shared" si="10"/>
        <v>149.63333333333333</v>
      </c>
      <c r="AE260" s="4">
        <f t="shared" si="10"/>
        <v>150.76666666666668</v>
      </c>
      <c r="AF260">
        <f t="shared" si="8"/>
        <v>150.00230769230768</v>
      </c>
      <c r="AG260">
        <v>174.47</v>
      </c>
      <c r="AH260">
        <f>Table1[[#This Row],[Clothing and footwear]]</f>
        <v>153.03</v>
      </c>
      <c r="AI260">
        <v>155.6</v>
      </c>
      <c r="AJ260">
        <v>148.4</v>
      </c>
      <c r="AK260">
        <f>AVERAGE(Table1[[#This Row],[Household goods and services]],Table1[[#This Row],[Personal care and effects]])</f>
        <v>149.35166666666666</v>
      </c>
      <c r="AL260">
        <f>Table1[[#This Row],[Health]]</f>
        <v>154.30000000000001</v>
      </c>
      <c r="AM260">
        <v>137.66999999999999</v>
      </c>
      <c r="AN260">
        <f>AVERAGE(Table1[[#This Row],[Education]],Table1[[#This Row],[Recreation and amusement]])</f>
        <v>156.63499999999999</v>
      </c>
      <c r="AO260">
        <f>Table1[[#This Row],[Miscellaneous]]</f>
        <v>149.63333333333333</v>
      </c>
      <c r="AP260" t="str">
        <f t="shared" si="9"/>
        <v>Lockdown</v>
      </c>
    </row>
    <row r="261" spans="1:42" x14ac:dyDescent="0.25">
      <c r="A261" t="s">
        <v>33</v>
      </c>
      <c r="B261">
        <v>2020</v>
      </c>
      <c r="C261" t="s">
        <v>37</v>
      </c>
      <c r="D261" s="3">
        <f>DATE(B261,MATCH(C261,{"January","February","March","April","May","June","July","August","September","October","November","December"},0),1)</f>
        <v>43922</v>
      </c>
      <c r="E261">
        <v>151.80000000000001</v>
      </c>
      <c r="F261">
        <v>177.33</v>
      </c>
      <c r="G261">
        <v>151.9</v>
      </c>
      <c r="H261">
        <v>155.5</v>
      </c>
      <c r="I261">
        <v>131.6</v>
      </c>
      <c r="J261">
        <v>152.9</v>
      </c>
      <c r="K261">
        <v>180</v>
      </c>
      <c r="L261">
        <v>150.80000000000001</v>
      </c>
      <c r="M261">
        <v>121.2</v>
      </c>
      <c r="N261">
        <v>154</v>
      </c>
      <c r="O261">
        <v>133.5</v>
      </c>
      <c r="P261">
        <v>159.97</v>
      </c>
      <c r="Q261">
        <v>153.5</v>
      </c>
      <c r="R261">
        <v>177.77</v>
      </c>
      <c r="S261">
        <v>148.16999999999999</v>
      </c>
      <c r="T261">
        <v>134.72999999999999</v>
      </c>
      <c r="U261">
        <v>146.13</v>
      </c>
      <c r="V261">
        <v>155.6</v>
      </c>
      <c r="W261">
        <v>137.1</v>
      </c>
      <c r="X261">
        <v>140.66999999999999</v>
      </c>
      <c r="Y261">
        <v>144.80000000000001</v>
      </c>
      <c r="Z261">
        <v>126.17</v>
      </c>
      <c r="AA261">
        <v>140.1</v>
      </c>
      <c r="AB261">
        <v>152.5</v>
      </c>
      <c r="AC261">
        <f t="shared" si="10"/>
        <v>147.6</v>
      </c>
      <c r="AD261">
        <f t="shared" si="10"/>
        <v>139.79999999999998</v>
      </c>
      <c r="AE261" s="4">
        <f t="shared" si="10"/>
        <v>148.46666666666667</v>
      </c>
      <c r="AF261">
        <f t="shared" si="8"/>
        <v>151.84615384615384</v>
      </c>
      <c r="AG261">
        <v>177.77</v>
      </c>
      <c r="AH261">
        <f>Table1[[#This Row],[Clothing and footwear]]</f>
        <v>146.13</v>
      </c>
      <c r="AI261">
        <v>155.6</v>
      </c>
      <c r="AJ261">
        <v>137.1</v>
      </c>
      <c r="AK261">
        <f>AVERAGE(Table1[[#This Row],[Household goods and services]],Table1[[#This Row],[Personal care and effects]])</f>
        <v>144.13499999999999</v>
      </c>
      <c r="AL261">
        <f>Table1[[#This Row],[Health]]</f>
        <v>144.80000000000001</v>
      </c>
      <c r="AM261">
        <v>126.17</v>
      </c>
      <c r="AN261">
        <f>AVERAGE(Table1[[#This Row],[Education]],Table1[[#This Row],[Recreation and amusement]])</f>
        <v>146.30000000000001</v>
      </c>
      <c r="AO261">
        <f>Table1[[#This Row],[Miscellaneous]]</f>
        <v>139.79999999999998</v>
      </c>
      <c r="AP261" t="str">
        <f t="shared" si="9"/>
        <v>Lockdown</v>
      </c>
    </row>
    <row r="262" spans="1:42" x14ac:dyDescent="0.25">
      <c r="A262" t="s">
        <v>34</v>
      </c>
      <c r="B262">
        <v>2020</v>
      </c>
      <c r="C262" t="s">
        <v>37</v>
      </c>
      <c r="D262" s="3">
        <f>DATE(B262,MATCH(C262,{"January","February","March","April","May","June","July","August","September","October","November","December"},0),1)</f>
        <v>43922</v>
      </c>
      <c r="E262">
        <v>148.69999999999999</v>
      </c>
      <c r="F262">
        <v>175.57</v>
      </c>
      <c r="G262">
        <v>148.80000000000001</v>
      </c>
      <c r="H262">
        <v>155.6</v>
      </c>
      <c r="I262">
        <v>135.1</v>
      </c>
      <c r="J262">
        <v>149.9</v>
      </c>
      <c r="K262">
        <v>168.6</v>
      </c>
      <c r="L262">
        <v>150.4</v>
      </c>
      <c r="M262">
        <v>120.3</v>
      </c>
      <c r="N262">
        <v>157.1</v>
      </c>
      <c r="O262">
        <v>136.80000000000001</v>
      </c>
      <c r="P262">
        <v>160.33000000000001</v>
      </c>
      <c r="Q262">
        <v>151.4</v>
      </c>
      <c r="R262">
        <v>175.3</v>
      </c>
      <c r="S262">
        <v>151.63</v>
      </c>
      <c r="T262">
        <v>142.72999999999999</v>
      </c>
      <c r="U262">
        <v>150.33000000000001</v>
      </c>
      <c r="V262">
        <v>155.6</v>
      </c>
      <c r="W262">
        <v>144.1</v>
      </c>
      <c r="X262">
        <v>146.4</v>
      </c>
      <c r="Y262">
        <v>150.69999999999999</v>
      </c>
      <c r="Z262">
        <v>131.6</v>
      </c>
      <c r="AA262">
        <v>145.22999999999999</v>
      </c>
      <c r="AB262">
        <v>156.19999999999999</v>
      </c>
      <c r="AC262" s="4">
        <f t="shared" si="10"/>
        <v>147.33333333333331</v>
      </c>
      <c r="AD262" s="4">
        <f t="shared" si="10"/>
        <v>144.86666666666667</v>
      </c>
      <c r="AE262" s="4">
        <f t="shared" si="10"/>
        <v>149.66666666666666</v>
      </c>
      <c r="AF262">
        <f t="shared" si="8"/>
        <v>150.66153846153844</v>
      </c>
      <c r="AG262">
        <v>175.3</v>
      </c>
      <c r="AH262">
        <f>Table1[[#This Row],[Clothing and footwear]]</f>
        <v>150.33000000000001</v>
      </c>
      <c r="AI262">
        <v>155.6</v>
      </c>
      <c r="AJ262">
        <v>144.1</v>
      </c>
      <c r="AK262">
        <f>AVERAGE(Table1[[#This Row],[Household goods and services]],Table1[[#This Row],[Personal care and effects]])</f>
        <v>146.86666666666667</v>
      </c>
      <c r="AL262">
        <f>Table1[[#This Row],[Health]]</f>
        <v>150.69999999999999</v>
      </c>
      <c r="AM262">
        <v>131.6</v>
      </c>
      <c r="AN262">
        <f>AVERAGE(Table1[[#This Row],[Education]],Table1[[#This Row],[Recreation and amusement]])</f>
        <v>150.71499999999997</v>
      </c>
      <c r="AO262">
        <f>Table1[[#This Row],[Miscellaneous]]</f>
        <v>144.86666666666667</v>
      </c>
      <c r="AP262" t="str">
        <f t="shared" si="9"/>
        <v>Lockdown</v>
      </c>
    </row>
    <row r="263" spans="1:42" x14ac:dyDescent="0.25">
      <c r="A263" t="s">
        <v>30</v>
      </c>
      <c r="B263">
        <v>2020</v>
      </c>
      <c r="C263" t="s">
        <v>38</v>
      </c>
      <c r="D263" s="3">
        <f>DATE(B263,MATCH(C263,{"January","February","March","April","May","June","July","August","September","October","November","December"},0),1)</f>
        <v>43952</v>
      </c>
      <c r="E263">
        <v>147.69999999999999</v>
      </c>
      <c r="F263">
        <v>182.47</v>
      </c>
      <c r="G263">
        <v>148.15</v>
      </c>
      <c r="H263">
        <v>154.44999999999999</v>
      </c>
      <c r="I263">
        <v>137.65</v>
      </c>
      <c r="J263">
        <v>145.25</v>
      </c>
      <c r="K263">
        <v>155.80000000000001</v>
      </c>
      <c r="L263">
        <v>150.25</v>
      </c>
      <c r="M263">
        <v>116.5</v>
      </c>
      <c r="N263">
        <v>159.25</v>
      </c>
      <c r="O263">
        <v>140.65</v>
      </c>
      <c r="P263">
        <v>161.19999999999999</v>
      </c>
      <c r="Q263">
        <v>151.19999999999999</v>
      </c>
      <c r="R263">
        <v>178.43</v>
      </c>
      <c r="S263">
        <v>154.27000000000001</v>
      </c>
      <c r="T263">
        <v>149.19999999999999</v>
      </c>
      <c r="U263">
        <v>153.57</v>
      </c>
      <c r="V263">
        <v>155.15</v>
      </c>
      <c r="W263">
        <v>146.65</v>
      </c>
      <c r="X263">
        <v>151.63</v>
      </c>
      <c r="Y263">
        <v>156.25</v>
      </c>
      <c r="Z263">
        <v>139.53</v>
      </c>
      <c r="AA263">
        <v>154.07</v>
      </c>
      <c r="AB263">
        <v>161.6</v>
      </c>
      <c r="AC263" s="4">
        <f t="shared" ref="AC263:AE265" si="11">AC260+(AC266-AC257)/3</f>
        <v>149.16666666666666</v>
      </c>
      <c r="AD263" s="4">
        <f t="shared" si="11"/>
        <v>150.66666666666666</v>
      </c>
      <c r="AE263" s="4">
        <f t="shared" si="11"/>
        <v>151.73333333333335</v>
      </c>
      <c r="AF263">
        <f t="shared" si="8"/>
        <v>150.04000000000002</v>
      </c>
      <c r="AG263">
        <v>178.43</v>
      </c>
      <c r="AH263">
        <f>Table1[[#This Row],[Clothing and footwear]]</f>
        <v>153.57</v>
      </c>
      <c r="AI263">
        <v>155.15</v>
      </c>
      <c r="AJ263">
        <v>146.65</v>
      </c>
      <c r="AK263">
        <f>AVERAGE(Table1[[#This Row],[Household goods and services]],Table1[[#This Row],[Personal care and effects]])</f>
        <v>150.39833333333331</v>
      </c>
      <c r="AL263">
        <f>Table1[[#This Row],[Health]]</f>
        <v>156.25</v>
      </c>
      <c r="AM263">
        <v>139.53</v>
      </c>
      <c r="AN263">
        <f>AVERAGE(Table1[[#This Row],[Education]],Table1[[#This Row],[Recreation and amusement]])</f>
        <v>157.83499999999998</v>
      </c>
      <c r="AO263">
        <f>Table1[[#This Row],[Miscellaneous]]</f>
        <v>150.66666666666666</v>
      </c>
      <c r="AP263" t="str">
        <f t="shared" si="9"/>
        <v>Lockdown</v>
      </c>
    </row>
    <row r="264" spans="1:42" x14ac:dyDescent="0.25">
      <c r="A264" t="s">
        <v>33</v>
      </c>
      <c r="B264">
        <v>2020</v>
      </c>
      <c r="C264" t="s">
        <v>38</v>
      </c>
      <c r="D264" s="3">
        <f>DATE(B264,MATCH(C264,{"January","February","March","April","May","June","July","August","September","October","November","December"},0),1)</f>
        <v>43952</v>
      </c>
      <c r="E264">
        <v>152.25</v>
      </c>
      <c r="F264">
        <v>187.17</v>
      </c>
      <c r="G264">
        <v>153.25</v>
      </c>
      <c r="H264">
        <v>154.44999999999999</v>
      </c>
      <c r="I264">
        <v>132.25</v>
      </c>
      <c r="J264">
        <v>152.35</v>
      </c>
      <c r="K264">
        <v>175.6</v>
      </c>
      <c r="L264">
        <v>151.4</v>
      </c>
      <c r="M264">
        <v>118.75</v>
      </c>
      <c r="N264">
        <v>156.4</v>
      </c>
      <c r="O264">
        <v>134.55000000000001</v>
      </c>
      <c r="P264">
        <v>160.83000000000001</v>
      </c>
      <c r="Q264">
        <v>155.25</v>
      </c>
      <c r="R264">
        <v>182.23</v>
      </c>
      <c r="S264">
        <v>148.63</v>
      </c>
      <c r="T264">
        <v>135.66999999999999</v>
      </c>
      <c r="U264">
        <v>146.66999999999999</v>
      </c>
      <c r="V264">
        <v>155.15</v>
      </c>
      <c r="W264">
        <v>137.1</v>
      </c>
      <c r="X264">
        <v>140.53</v>
      </c>
      <c r="Y264">
        <v>146.44999999999999</v>
      </c>
      <c r="Z264">
        <v>127.73</v>
      </c>
      <c r="AA264">
        <v>142.30000000000001</v>
      </c>
      <c r="AB264">
        <v>152.5</v>
      </c>
      <c r="AC264">
        <f t="shared" si="11"/>
        <v>149.89999999999998</v>
      </c>
      <c r="AD264">
        <f t="shared" si="11"/>
        <v>140.89999999999998</v>
      </c>
      <c r="AE264" s="4">
        <f t="shared" si="11"/>
        <v>149.63333333333333</v>
      </c>
      <c r="AF264">
        <f t="shared" si="8"/>
        <v>152.65384615384616</v>
      </c>
      <c r="AG264">
        <v>182.23</v>
      </c>
      <c r="AH264">
        <f>Table1[[#This Row],[Clothing and footwear]]</f>
        <v>146.66999999999999</v>
      </c>
      <c r="AI264">
        <v>155.15</v>
      </c>
      <c r="AJ264">
        <v>137.1</v>
      </c>
      <c r="AK264">
        <f>AVERAGE(Table1[[#This Row],[Household goods and services]],Table1[[#This Row],[Personal care and effects]])</f>
        <v>145.21499999999997</v>
      </c>
      <c r="AL264">
        <f>Table1[[#This Row],[Health]]</f>
        <v>146.44999999999999</v>
      </c>
      <c r="AM264">
        <v>127.73</v>
      </c>
      <c r="AN264">
        <f>AVERAGE(Table1[[#This Row],[Education]],Table1[[#This Row],[Recreation and amusement]])</f>
        <v>147.4</v>
      </c>
      <c r="AO264">
        <f>Table1[[#This Row],[Miscellaneous]]</f>
        <v>140.89999999999998</v>
      </c>
      <c r="AP264" t="str">
        <f t="shared" si="9"/>
        <v>Lockdown</v>
      </c>
    </row>
    <row r="265" spans="1:42" x14ac:dyDescent="0.25">
      <c r="A265" t="s">
        <v>34</v>
      </c>
      <c r="B265">
        <v>2020</v>
      </c>
      <c r="C265" t="s">
        <v>38</v>
      </c>
      <c r="D265" s="3">
        <f>DATE(B265,MATCH(C265,{"January","February","March","April","May","June","July","August","September","October","November","December"},0),1)</f>
        <v>43952</v>
      </c>
      <c r="E265">
        <v>149.15</v>
      </c>
      <c r="F265">
        <v>184.13</v>
      </c>
      <c r="G265">
        <v>150.1</v>
      </c>
      <c r="H265">
        <v>154.44999999999999</v>
      </c>
      <c r="I265">
        <v>135.69999999999999</v>
      </c>
      <c r="J265">
        <v>148.55000000000001</v>
      </c>
      <c r="K265">
        <v>162.55000000000001</v>
      </c>
      <c r="L265">
        <v>150.65</v>
      </c>
      <c r="M265">
        <v>117.25</v>
      </c>
      <c r="N265">
        <v>158.30000000000001</v>
      </c>
      <c r="O265">
        <v>138.1</v>
      </c>
      <c r="P265">
        <v>161.07</v>
      </c>
      <c r="Q265">
        <v>152.69999999999999</v>
      </c>
      <c r="R265">
        <v>179.4</v>
      </c>
      <c r="S265">
        <v>152.07</v>
      </c>
      <c r="T265">
        <v>143.57</v>
      </c>
      <c r="U265">
        <v>150.87</v>
      </c>
      <c r="V265">
        <v>155.15</v>
      </c>
      <c r="W265">
        <v>143</v>
      </c>
      <c r="X265">
        <v>146.4</v>
      </c>
      <c r="Y265">
        <v>152.55000000000001</v>
      </c>
      <c r="Z265">
        <v>133.30000000000001</v>
      </c>
      <c r="AA265">
        <v>146.77000000000001</v>
      </c>
      <c r="AB265">
        <v>156.27000000000001</v>
      </c>
      <c r="AC265" s="4">
        <f t="shared" si="11"/>
        <v>149.46666666666664</v>
      </c>
      <c r="AD265" s="4">
        <f t="shared" si="11"/>
        <v>145.93333333333334</v>
      </c>
      <c r="AE265" s="4">
        <f t="shared" si="11"/>
        <v>150.73333333333332</v>
      </c>
      <c r="AF265">
        <f t="shared" si="8"/>
        <v>150.97692307692307</v>
      </c>
      <c r="AG265">
        <v>179.4</v>
      </c>
      <c r="AH265">
        <f>Table1[[#This Row],[Clothing and footwear]]</f>
        <v>150.87</v>
      </c>
      <c r="AI265">
        <v>155.15</v>
      </c>
      <c r="AJ265">
        <v>143</v>
      </c>
      <c r="AK265">
        <f>AVERAGE(Table1[[#This Row],[Household goods and services]],Table1[[#This Row],[Personal care and effects]])</f>
        <v>147.93333333333334</v>
      </c>
      <c r="AL265">
        <f>Table1[[#This Row],[Health]]</f>
        <v>152.55000000000001</v>
      </c>
      <c r="AM265">
        <v>133.30000000000001</v>
      </c>
      <c r="AN265">
        <f>AVERAGE(Table1[[#This Row],[Education]],Table1[[#This Row],[Recreation and amusement]])</f>
        <v>151.52000000000001</v>
      </c>
      <c r="AO265">
        <f>Table1[[#This Row],[Miscellaneous]]</f>
        <v>145.93333333333334</v>
      </c>
      <c r="AP265" t="str">
        <f t="shared" si="9"/>
        <v>Lockdown</v>
      </c>
    </row>
    <row r="266" spans="1:42" x14ac:dyDescent="0.25">
      <c r="A266" t="s">
        <v>30</v>
      </c>
      <c r="B266">
        <v>2020</v>
      </c>
      <c r="C266" t="s">
        <v>39</v>
      </c>
      <c r="D266" s="3">
        <f>DATE(B266,MATCH(C266,{"January","February","March","April","May","June","July","August","September","October","November","December"},0),1)</f>
        <v>43983</v>
      </c>
      <c r="E266">
        <v>148.19999999999999</v>
      </c>
      <c r="F266">
        <v>190.3</v>
      </c>
      <c r="G266">
        <v>149.4</v>
      </c>
      <c r="H266">
        <v>153.30000000000001</v>
      </c>
      <c r="I266">
        <v>138.19999999999999</v>
      </c>
      <c r="J266">
        <v>143.19999999999999</v>
      </c>
      <c r="K266">
        <v>148.9</v>
      </c>
      <c r="L266">
        <v>150.30000000000001</v>
      </c>
      <c r="M266">
        <v>113.2</v>
      </c>
      <c r="N266">
        <v>159.80000000000001</v>
      </c>
      <c r="O266">
        <v>142.1</v>
      </c>
      <c r="P266">
        <v>161.80000000000001</v>
      </c>
      <c r="Q266">
        <v>152.30000000000001</v>
      </c>
      <c r="R266">
        <v>182.4</v>
      </c>
      <c r="S266">
        <v>154.69999999999999</v>
      </c>
      <c r="T266">
        <v>150</v>
      </c>
      <c r="U266">
        <v>154.1</v>
      </c>
      <c r="V266">
        <v>154.69999999999999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  <c r="AF266">
        <f t="shared" si="8"/>
        <v>150.07692307692307</v>
      </c>
      <c r="AG266">
        <v>182.4</v>
      </c>
      <c r="AH266">
        <f>Table1[[#This Row],[Clothing and footwear]]</f>
        <v>154.1</v>
      </c>
      <c r="AI266">
        <v>154.69999999999999</v>
      </c>
      <c r="AJ266">
        <v>144.9</v>
      </c>
      <c r="AK266">
        <f>AVERAGE(Table1[[#This Row],[Household goods and services]],Table1[[#This Row],[Personal care and effects]])</f>
        <v>151.44999999999999</v>
      </c>
      <c r="AL266">
        <f>Table1[[#This Row],[Health]]</f>
        <v>158.19999999999999</v>
      </c>
      <c r="AM266">
        <v>141.4</v>
      </c>
      <c r="AN266">
        <f>AVERAGE(Table1[[#This Row],[Education]],Table1[[#This Row],[Recreation and amusement]])</f>
        <v>157.5</v>
      </c>
      <c r="AO266">
        <f>Table1[[#This Row],[Miscellaneous]]</f>
        <v>151.69999999999999</v>
      </c>
      <c r="AP266" t="str">
        <f t="shared" si="9"/>
        <v>Post-COVID</v>
      </c>
    </row>
    <row r="267" spans="1:42" x14ac:dyDescent="0.25">
      <c r="A267" t="s">
        <v>33</v>
      </c>
      <c r="B267">
        <v>2020</v>
      </c>
      <c r="C267" t="s">
        <v>39</v>
      </c>
      <c r="D267" s="3">
        <f>DATE(B267,MATCH(C267,{"January","February","March","April","May","June","July","August","September","October","November","December"},0),1)</f>
        <v>43983</v>
      </c>
      <c r="E267">
        <v>152.69999999999999</v>
      </c>
      <c r="F267">
        <v>197</v>
      </c>
      <c r="G267">
        <v>154.6</v>
      </c>
      <c r="H267">
        <v>153.4</v>
      </c>
      <c r="I267">
        <v>132.9</v>
      </c>
      <c r="J267">
        <v>151.80000000000001</v>
      </c>
      <c r="K267">
        <v>171.2</v>
      </c>
      <c r="L267">
        <v>152</v>
      </c>
      <c r="M267">
        <v>116.3</v>
      </c>
      <c r="N267">
        <v>158.80000000000001</v>
      </c>
      <c r="O267">
        <v>135.6</v>
      </c>
      <c r="P267">
        <v>161.69999999999999</v>
      </c>
      <c r="Q267">
        <v>157</v>
      </c>
      <c r="R267">
        <v>186.7</v>
      </c>
      <c r="S267">
        <v>149.1</v>
      </c>
      <c r="T267">
        <v>136.6</v>
      </c>
      <c r="U267">
        <v>147.19999999999999</v>
      </c>
      <c r="V267"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  <c r="AF267">
        <f t="shared" si="8"/>
        <v>153.46153846153845</v>
      </c>
      <c r="AG267">
        <v>186.7</v>
      </c>
      <c r="AH267">
        <f>Table1[[#This Row],[Clothing and footwear]]</f>
        <v>147.19999999999999</v>
      </c>
      <c r="AI267">
        <v>154.69999999999999</v>
      </c>
      <c r="AJ267">
        <v>137.1</v>
      </c>
      <c r="AK267">
        <f>AVERAGE(Table1[[#This Row],[Household goods and services]],Table1[[#This Row],[Personal care and effects]])</f>
        <v>146.30000000000001</v>
      </c>
      <c r="AL267">
        <f>Table1[[#This Row],[Health]]</f>
        <v>148.1</v>
      </c>
      <c r="AM267">
        <v>129.30000000000001</v>
      </c>
      <c r="AN267">
        <f>AVERAGE(Table1[[#This Row],[Education]],Table1[[#This Row],[Recreation and amusement]])</f>
        <v>148.5</v>
      </c>
      <c r="AO267">
        <f>Table1[[#This Row],[Miscellaneous]]</f>
        <v>142</v>
      </c>
      <c r="AP267" t="str">
        <f t="shared" si="9"/>
        <v>Post-COVID</v>
      </c>
    </row>
    <row r="268" spans="1:42" x14ac:dyDescent="0.25">
      <c r="A268" t="s">
        <v>34</v>
      </c>
      <c r="B268">
        <v>2020</v>
      </c>
      <c r="C268" t="s">
        <v>39</v>
      </c>
      <c r="D268" s="3">
        <f>DATE(B268,MATCH(C268,{"January","February","March","April","May","June","July","August","September","October","November","December"},0),1)</f>
        <v>43983</v>
      </c>
      <c r="E268">
        <v>149.6</v>
      </c>
      <c r="F268">
        <v>192.7</v>
      </c>
      <c r="G268">
        <v>151.4</v>
      </c>
      <c r="H268">
        <v>153.30000000000001</v>
      </c>
      <c r="I268">
        <v>136.30000000000001</v>
      </c>
      <c r="J268">
        <v>147.19999999999999</v>
      </c>
      <c r="K268">
        <v>156.5</v>
      </c>
      <c r="L268">
        <v>150.9</v>
      </c>
      <c r="M268">
        <v>114.2</v>
      </c>
      <c r="N268">
        <v>159.5</v>
      </c>
      <c r="O268">
        <v>139.4</v>
      </c>
      <c r="P268">
        <v>161.80000000000001</v>
      </c>
      <c r="Q268">
        <v>154</v>
      </c>
      <c r="R268">
        <v>183.5</v>
      </c>
      <c r="S268">
        <v>152.5</v>
      </c>
      <c r="T268">
        <v>144.4</v>
      </c>
      <c r="U268">
        <v>151.4</v>
      </c>
      <c r="V268"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  <c r="AF268">
        <f t="shared" si="8"/>
        <v>151.2923076923077</v>
      </c>
      <c r="AG268">
        <v>183.5</v>
      </c>
      <c r="AH268">
        <f>Table1[[#This Row],[Clothing and footwear]]</f>
        <v>151.4</v>
      </c>
      <c r="AI268">
        <v>154.69999999999999</v>
      </c>
      <c r="AJ268">
        <v>141.9</v>
      </c>
      <c r="AK268">
        <f>AVERAGE(Table1[[#This Row],[Household goods and services]],Table1[[#This Row],[Personal care and effects]])</f>
        <v>149</v>
      </c>
      <c r="AL268">
        <f>Table1[[#This Row],[Health]]</f>
        <v>154.4</v>
      </c>
      <c r="AM268">
        <v>135</v>
      </c>
      <c r="AN268">
        <f>AVERAGE(Table1[[#This Row],[Education]],Table1[[#This Row],[Recreation and amusement]])</f>
        <v>152.35000000000002</v>
      </c>
      <c r="AO268">
        <f>Table1[[#This Row],[Miscellaneous]]</f>
        <v>147</v>
      </c>
      <c r="AP268" t="str">
        <f t="shared" si="9"/>
        <v>Post-COVID</v>
      </c>
    </row>
    <row r="269" spans="1:42" x14ac:dyDescent="0.25">
      <c r="A269" t="s">
        <v>30</v>
      </c>
      <c r="B269">
        <v>2020</v>
      </c>
      <c r="C269" t="s">
        <v>40</v>
      </c>
      <c r="D269" s="3">
        <f>DATE(B269,MATCH(C269,{"January","February","March","April","May","June","July","August","September","October","November","December"},0),1)</f>
        <v>44013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v>182.4</v>
      </c>
      <c r="S269">
        <v>154.69999999999999</v>
      </c>
      <c r="T269">
        <v>150</v>
      </c>
      <c r="U269">
        <v>154.1</v>
      </c>
      <c r="V269">
        <v>154.69999999999999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  <c r="AF269">
        <f t="shared" si="8"/>
        <v>150.07692307692307</v>
      </c>
      <c r="AG269">
        <v>182.4</v>
      </c>
      <c r="AH269">
        <f>Table1[[#This Row],[Clothing and footwear]]</f>
        <v>154.1</v>
      </c>
      <c r="AI269">
        <v>154.69999999999999</v>
      </c>
      <c r="AJ269">
        <v>144.9</v>
      </c>
      <c r="AK269">
        <f>AVERAGE(Table1[[#This Row],[Household goods and services]],Table1[[#This Row],[Personal care and effects]])</f>
        <v>151.44999999999999</v>
      </c>
      <c r="AL269">
        <f>Table1[[#This Row],[Health]]</f>
        <v>158.19999999999999</v>
      </c>
      <c r="AM269">
        <v>141.4</v>
      </c>
      <c r="AN269">
        <f>AVERAGE(Table1[[#This Row],[Education]],Table1[[#This Row],[Recreation and amusement]])</f>
        <v>157.5</v>
      </c>
      <c r="AO269">
        <f>Table1[[#This Row],[Miscellaneous]]</f>
        <v>151.69999999999999</v>
      </c>
      <c r="AP269" t="str">
        <f t="shared" si="9"/>
        <v>Post-COVID</v>
      </c>
    </row>
    <row r="270" spans="1:42" x14ac:dyDescent="0.25">
      <c r="A270" t="s">
        <v>33</v>
      </c>
      <c r="B270">
        <v>2020</v>
      </c>
      <c r="C270" t="s">
        <v>40</v>
      </c>
      <c r="D270" s="3">
        <f>DATE(B270,MATCH(C270,{"January","February","March","April","May","June","July","August","September","October","November","December"},0),1)</f>
        <v>44013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v>186.7</v>
      </c>
      <c r="S270">
        <v>149.1</v>
      </c>
      <c r="T270">
        <v>136.6</v>
      </c>
      <c r="U270">
        <v>147.19999999999999</v>
      </c>
      <c r="V270"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  <c r="AF270">
        <f t="shared" si="8"/>
        <v>153.46153846153845</v>
      </c>
      <c r="AG270">
        <v>186.7</v>
      </c>
      <c r="AH270">
        <f>Table1[[#This Row],[Clothing and footwear]]</f>
        <v>147.19999999999999</v>
      </c>
      <c r="AI270">
        <v>154.69999999999999</v>
      </c>
      <c r="AJ270">
        <v>137.1</v>
      </c>
      <c r="AK270">
        <f>AVERAGE(Table1[[#This Row],[Household goods and services]],Table1[[#This Row],[Personal care and effects]])</f>
        <v>146.30000000000001</v>
      </c>
      <c r="AL270">
        <f>Table1[[#This Row],[Health]]</f>
        <v>148.1</v>
      </c>
      <c r="AM270">
        <v>129.30000000000001</v>
      </c>
      <c r="AN270">
        <f>AVERAGE(Table1[[#This Row],[Education]],Table1[[#This Row],[Recreation and amusement]])</f>
        <v>148.5</v>
      </c>
      <c r="AO270">
        <f>Table1[[#This Row],[Miscellaneous]]</f>
        <v>142</v>
      </c>
      <c r="AP270" t="str">
        <f t="shared" si="9"/>
        <v>Post-COVID</v>
      </c>
    </row>
    <row r="271" spans="1:42" x14ac:dyDescent="0.25">
      <c r="A271" t="s">
        <v>34</v>
      </c>
      <c r="B271">
        <v>2020</v>
      </c>
      <c r="C271" t="s">
        <v>40</v>
      </c>
      <c r="D271" s="3">
        <f>DATE(B271,MATCH(C271,{"January","February","March","April","May","June","July","August","September","October","November","December"},0),1)</f>
        <v>44013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v>183.5</v>
      </c>
      <c r="S271">
        <v>152.5</v>
      </c>
      <c r="T271">
        <v>144.4</v>
      </c>
      <c r="U271">
        <v>151.4</v>
      </c>
      <c r="V271"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  <c r="AF271">
        <f t="shared" si="8"/>
        <v>151.2923076923077</v>
      </c>
      <c r="AG271">
        <v>183.5</v>
      </c>
      <c r="AH271">
        <f>Table1[[#This Row],[Clothing and footwear]]</f>
        <v>151.4</v>
      </c>
      <c r="AI271">
        <v>154.69999999999999</v>
      </c>
      <c r="AJ271">
        <v>141.9</v>
      </c>
      <c r="AK271">
        <f>AVERAGE(Table1[[#This Row],[Household goods and services]],Table1[[#This Row],[Personal care and effects]])</f>
        <v>149</v>
      </c>
      <c r="AL271">
        <f>Table1[[#This Row],[Health]]</f>
        <v>154.4</v>
      </c>
      <c r="AM271">
        <v>135</v>
      </c>
      <c r="AN271">
        <f>AVERAGE(Table1[[#This Row],[Education]],Table1[[#This Row],[Recreation and amusement]])</f>
        <v>152.35000000000002</v>
      </c>
      <c r="AO271">
        <f>Table1[[#This Row],[Miscellaneous]]</f>
        <v>147</v>
      </c>
      <c r="AP271" t="str">
        <f t="shared" si="9"/>
        <v>Post-COVID</v>
      </c>
    </row>
    <row r="272" spans="1:42" x14ac:dyDescent="0.25">
      <c r="A272" t="s">
        <v>30</v>
      </c>
      <c r="B272">
        <v>2020</v>
      </c>
      <c r="C272" t="s">
        <v>41</v>
      </c>
      <c r="D272" s="3">
        <f>DATE(B272,MATCH(C272,{"January","February","March","April","May","June","July","August","September","October","November","December"},0),1)</f>
        <v>44044</v>
      </c>
      <c r="E272">
        <v>147.6</v>
      </c>
      <c r="F272">
        <v>187.2</v>
      </c>
      <c r="G272">
        <v>148.4</v>
      </c>
      <c r="H272">
        <v>153.30000000000001</v>
      </c>
      <c r="I272">
        <v>139.80000000000001</v>
      </c>
      <c r="J272">
        <v>146.9</v>
      </c>
      <c r="K272">
        <v>171</v>
      </c>
      <c r="L272">
        <v>149.9</v>
      </c>
      <c r="M272">
        <v>114.2</v>
      </c>
      <c r="N272">
        <v>160</v>
      </c>
      <c r="O272">
        <v>143.5</v>
      </c>
      <c r="P272">
        <v>161.5</v>
      </c>
      <c r="Q272">
        <v>155.30000000000001</v>
      </c>
      <c r="R272">
        <v>180.9</v>
      </c>
      <c r="S272">
        <v>155.1</v>
      </c>
      <c r="T272">
        <v>149.30000000000001</v>
      </c>
      <c r="U272">
        <v>154.30000000000001</v>
      </c>
      <c r="V272">
        <v>155.5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  <c r="AF272">
        <f t="shared" si="8"/>
        <v>152.19999999999999</v>
      </c>
      <c r="AG272">
        <v>180.9</v>
      </c>
      <c r="AH272">
        <f>Table1[[#This Row],[Clothing and footwear]]</f>
        <v>154.30000000000001</v>
      </c>
      <c r="AI272">
        <v>155.5</v>
      </c>
      <c r="AJ272">
        <v>145.80000000000001</v>
      </c>
      <c r="AK272">
        <f>AVERAGE(Table1[[#This Row],[Household goods and services]],Table1[[#This Row],[Personal care and effects]])</f>
        <v>152.75</v>
      </c>
      <c r="AL272">
        <f>Table1[[#This Row],[Health]]</f>
        <v>158.80000000000001</v>
      </c>
      <c r="AM272">
        <v>143.6</v>
      </c>
      <c r="AN272">
        <f>AVERAGE(Table1[[#This Row],[Education]],Table1[[#This Row],[Recreation and amusement]])</f>
        <v>157.44999999999999</v>
      </c>
      <c r="AO272">
        <f>Table1[[#This Row],[Miscellaneous]]</f>
        <v>153</v>
      </c>
      <c r="AP272" t="str">
        <f t="shared" si="9"/>
        <v>Post-COVID</v>
      </c>
    </row>
    <row r="273" spans="1:42" x14ac:dyDescent="0.25">
      <c r="A273" t="s">
        <v>33</v>
      </c>
      <c r="B273">
        <v>2020</v>
      </c>
      <c r="C273" t="s">
        <v>41</v>
      </c>
      <c r="D273" s="3">
        <f>DATE(B273,MATCH(C273,{"January","February","March","April","May","June","July","August","September","October","November","December"},0),1)</f>
        <v>44044</v>
      </c>
      <c r="E273">
        <v>151.6</v>
      </c>
      <c r="F273">
        <v>197.8</v>
      </c>
      <c r="G273">
        <v>154.5</v>
      </c>
      <c r="H273">
        <v>153.4</v>
      </c>
      <c r="I273">
        <v>133.4</v>
      </c>
      <c r="J273">
        <v>154.5</v>
      </c>
      <c r="K273">
        <v>191.9</v>
      </c>
      <c r="L273">
        <v>151.30000000000001</v>
      </c>
      <c r="M273">
        <v>116.8</v>
      </c>
      <c r="N273">
        <v>160</v>
      </c>
      <c r="O273">
        <v>136.5</v>
      </c>
      <c r="P273">
        <v>163.30000000000001</v>
      </c>
      <c r="Q273">
        <v>159.9</v>
      </c>
      <c r="R273">
        <v>187.2</v>
      </c>
      <c r="S273">
        <v>150</v>
      </c>
      <c r="T273">
        <v>135.19999999999999</v>
      </c>
      <c r="U273">
        <v>147.80000000000001</v>
      </c>
      <c r="V273">
        <v>155.5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  <c r="AF273">
        <f t="shared" si="8"/>
        <v>155.76153846153846</v>
      </c>
      <c r="AG273">
        <v>187.2</v>
      </c>
      <c r="AH273">
        <f>Table1[[#This Row],[Clothing and footwear]]</f>
        <v>147.80000000000001</v>
      </c>
      <c r="AI273">
        <v>155.5</v>
      </c>
      <c r="AJ273">
        <v>138.30000000000001</v>
      </c>
      <c r="AK273">
        <f>AVERAGE(Table1[[#This Row],[Household goods and services]],Table1[[#This Row],[Personal care and effects]])</f>
        <v>149.85</v>
      </c>
      <c r="AL273">
        <f>Table1[[#This Row],[Health]]</f>
        <v>148.69999999999999</v>
      </c>
      <c r="AM273">
        <v>133.9</v>
      </c>
      <c r="AN273">
        <f>AVERAGE(Table1[[#This Row],[Education]],Table1[[#This Row],[Recreation and amusement]])</f>
        <v>148.35</v>
      </c>
      <c r="AO273">
        <f>Table1[[#This Row],[Miscellaneous]]</f>
        <v>144.80000000000001</v>
      </c>
      <c r="AP273" t="str">
        <f t="shared" si="9"/>
        <v>Post-COVID</v>
      </c>
    </row>
    <row r="274" spans="1:42" x14ac:dyDescent="0.25">
      <c r="A274" t="s">
        <v>34</v>
      </c>
      <c r="B274">
        <v>2020</v>
      </c>
      <c r="C274" t="s">
        <v>41</v>
      </c>
      <c r="D274" s="3">
        <f>DATE(B274,MATCH(C274,{"January","February","March","April","May","June","July","August","September","October","November","December"},0),1)</f>
        <v>44044</v>
      </c>
      <c r="E274">
        <v>148.9</v>
      </c>
      <c r="F274">
        <v>190.9</v>
      </c>
      <c r="G274">
        <v>150.80000000000001</v>
      </c>
      <c r="H274">
        <v>153.30000000000001</v>
      </c>
      <c r="I274">
        <v>137.4</v>
      </c>
      <c r="J274">
        <v>150.4</v>
      </c>
      <c r="K274">
        <v>178.1</v>
      </c>
      <c r="L274">
        <v>150.4</v>
      </c>
      <c r="M274">
        <v>115.1</v>
      </c>
      <c r="N274">
        <v>160</v>
      </c>
      <c r="O274">
        <v>140.6</v>
      </c>
      <c r="P274">
        <v>162.30000000000001</v>
      </c>
      <c r="Q274">
        <v>157</v>
      </c>
      <c r="R274">
        <v>182.6</v>
      </c>
      <c r="S274">
        <v>153.1</v>
      </c>
      <c r="T274">
        <v>143.4</v>
      </c>
      <c r="U274">
        <v>151.69999999999999</v>
      </c>
      <c r="V274">
        <v>155.5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  <c r="AF274">
        <f t="shared" si="8"/>
        <v>153.47692307692307</v>
      </c>
      <c r="AG274">
        <v>182.6</v>
      </c>
      <c r="AH274">
        <f>Table1[[#This Row],[Clothing and footwear]]</f>
        <v>151.69999999999999</v>
      </c>
      <c r="AI274">
        <v>155.5</v>
      </c>
      <c r="AJ274">
        <v>143</v>
      </c>
      <c r="AK274">
        <f>AVERAGE(Table1[[#This Row],[Household goods and services]],Table1[[#This Row],[Personal care and effects]])</f>
        <v>151.35000000000002</v>
      </c>
      <c r="AL274">
        <f>Table1[[#This Row],[Health]]</f>
        <v>155</v>
      </c>
      <c r="AM274">
        <v>138.5</v>
      </c>
      <c r="AN274">
        <f>AVERAGE(Table1[[#This Row],[Education]],Table1[[#This Row],[Recreation and amusement]])</f>
        <v>152.25</v>
      </c>
      <c r="AO274">
        <f>Table1[[#This Row],[Miscellaneous]]</f>
        <v>149</v>
      </c>
      <c r="AP274" t="str">
        <f t="shared" si="9"/>
        <v>Post-COVID</v>
      </c>
    </row>
    <row r="275" spans="1:42" x14ac:dyDescent="0.25">
      <c r="A275" t="s">
        <v>30</v>
      </c>
      <c r="B275">
        <v>2020</v>
      </c>
      <c r="C275" t="s">
        <v>42</v>
      </c>
      <c r="D275" s="3">
        <f>DATE(B275,MATCH(C275,{"January","February","March","April","May","June","July","August","September","October","November","December"},0),1)</f>
        <v>44075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>
        <v>182.9</v>
      </c>
      <c r="S275">
        <v>155.4</v>
      </c>
      <c r="T275">
        <v>149.9</v>
      </c>
      <c r="U275">
        <v>154.6</v>
      </c>
      <c r="V275">
        <v>156.30000000000001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  <c r="AF275">
        <f t="shared" si="8"/>
        <v>152.87692307692308</v>
      </c>
      <c r="AG275">
        <v>182.9</v>
      </c>
      <c r="AH275">
        <f>Table1[[#This Row],[Clothing and footwear]]</f>
        <v>154.6</v>
      </c>
      <c r="AI275">
        <v>156.30000000000001</v>
      </c>
      <c r="AJ275">
        <v>146.4</v>
      </c>
      <c r="AK275">
        <f>AVERAGE(Table1[[#This Row],[Household goods and services]],Table1[[#This Row],[Personal care and effects]])</f>
        <v>154.5</v>
      </c>
      <c r="AL275">
        <f>Table1[[#This Row],[Health]]</f>
        <v>159.1</v>
      </c>
      <c r="AM275">
        <v>144.6</v>
      </c>
      <c r="AN275">
        <f>AVERAGE(Table1[[#This Row],[Education]],Table1[[#This Row],[Recreation and amusement]])</f>
        <v>156.94999999999999</v>
      </c>
      <c r="AO275">
        <f>Table1[[#This Row],[Miscellaneous]]</f>
        <v>153.69999999999999</v>
      </c>
      <c r="AP275" t="str">
        <f t="shared" si="9"/>
        <v>Post-COVID</v>
      </c>
    </row>
    <row r="276" spans="1:42" x14ac:dyDescent="0.25">
      <c r="A276" t="s">
        <v>33</v>
      </c>
      <c r="B276">
        <v>2020</v>
      </c>
      <c r="C276" t="s">
        <v>42</v>
      </c>
      <c r="D276" s="3">
        <f>DATE(B276,MATCH(C276,{"January","February","March","April","May","June","July","August","September","October","November","December"},0),1)</f>
        <v>44075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>
        <v>188.7</v>
      </c>
      <c r="S276">
        <v>150.19999999999999</v>
      </c>
      <c r="T276">
        <v>136.30000000000001</v>
      </c>
      <c r="U276">
        <v>148.1</v>
      </c>
      <c r="V276">
        <v>156.30000000000001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  <c r="AF276">
        <f t="shared" si="8"/>
        <v>157.04615384615386</v>
      </c>
      <c r="AG276">
        <v>188.7</v>
      </c>
      <c r="AH276">
        <f>Table1[[#This Row],[Clothing and footwear]]</f>
        <v>148.1</v>
      </c>
      <c r="AI276">
        <v>156.30000000000001</v>
      </c>
      <c r="AJ276">
        <v>137.19999999999999</v>
      </c>
      <c r="AK276">
        <f>AVERAGE(Table1[[#This Row],[Household goods and services]],Table1[[#This Row],[Personal care and effects]])</f>
        <v>152.60000000000002</v>
      </c>
      <c r="AL276">
        <f>Table1[[#This Row],[Health]]</f>
        <v>150</v>
      </c>
      <c r="AM276">
        <v>135.1</v>
      </c>
      <c r="AN276">
        <f>AVERAGE(Table1[[#This Row],[Education]],Table1[[#This Row],[Recreation and amusement]])</f>
        <v>148.35000000000002</v>
      </c>
      <c r="AO276">
        <f>Table1[[#This Row],[Miscellaneous]]</f>
        <v>146</v>
      </c>
      <c r="AP276" t="str">
        <f t="shared" si="9"/>
        <v>Post-COVID</v>
      </c>
    </row>
    <row r="277" spans="1:42" x14ac:dyDescent="0.25">
      <c r="A277" t="s">
        <v>34</v>
      </c>
      <c r="B277">
        <v>2020</v>
      </c>
      <c r="C277" t="s">
        <v>42</v>
      </c>
      <c r="D277" s="3">
        <f>DATE(B277,MATCH(C277,{"January","February","March","April","May","June","July","August","September","October","November","December"},0),1)</f>
        <v>44075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>
        <v>184.4</v>
      </c>
      <c r="S277">
        <v>153.4</v>
      </c>
      <c r="T277">
        <v>144.30000000000001</v>
      </c>
      <c r="U277">
        <v>152</v>
      </c>
      <c r="V277">
        <v>156.30000000000001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  <c r="AF277">
        <f t="shared" si="8"/>
        <v>154.38461538461539</v>
      </c>
      <c r="AG277">
        <v>184.4</v>
      </c>
      <c r="AH277">
        <f>Table1[[#This Row],[Clothing and footwear]]</f>
        <v>152</v>
      </c>
      <c r="AI277">
        <v>156.30000000000001</v>
      </c>
      <c r="AJ277">
        <v>142.9</v>
      </c>
      <c r="AK277">
        <f>AVERAGE(Table1[[#This Row],[Household goods and services]],Table1[[#This Row],[Personal care and effects]])</f>
        <v>153.55000000000001</v>
      </c>
      <c r="AL277">
        <f>Table1[[#This Row],[Health]]</f>
        <v>155.6</v>
      </c>
      <c r="AM277">
        <v>139.6</v>
      </c>
      <c r="AN277">
        <f>AVERAGE(Table1[[#This Row],[Education]],Table1[[#This Row],[Recreation and amusement]])</f>
        <v>152.05000000000001</v>
      </c>
      <c r="AO277">
        <f>Table1[[#This Row],[Miscellaneous]]</f>
        <v>150</v>
      </c>
      <c r="AP277" t="str">
        <f t="shared" si="9"/>
        <v>Post-COVID</v>
      </c>
    </row>
    <row r="278" spans="1:42" x14ac:dyDescent="0.25">
      <c r="A278" t="s">
        <v>30</v>
      </c>
      <c r="B278">
        <v>2020</v>
      </c>
      <c r="C278" t="s">
        <v>43</v>
      </c>
      <c r="D278" s="3">
        <f>DATE(B278,MATCH(C278,{"January","February","March","April","May","June","July","August","September","October","November","December"},0),1)</f>
        <v>44105</v>
      </c>
      <c r="E278">
        <v>146</v>
      </c>
      <c r="F278">
        <v>186.3</v>
      </c>
      <c r="G278">
        <v>159.19999999999999</v>
      </c>
      <c r="H278">
        <v>153.6</v>
      </c>
      <c r="I278">
        <v>142.6</v>
      </c>
      <c r="J278">
        <v>147.19999999999999</v>
      </c>
      <c r="K278">
        <v>200.6</v>
      </c>
      <c r="L278">
        <v>150.30000000000001</v>
      </c>
      <c r="M278">
        <v>115.3</v>
      </c>
      <c r="N278">
        <v>160.9</v>
      </c>
      <c r="O278">
        <v>147.4</v>
      </c>
      <c r="P278">
        <v>161.9</v>
      </c>
      <c r="Q278">
        <v>159.6</v>
      </c>
      <c r="R278">
        <v>182.7</v>
      </c>
      <c r="S278">
        <v>155.69999999999999</v>
      </c>
      <c r="T278">
        <v>150.6</v>
      </c>
      <c r="U278">
        <v>155</v>
      </c>
      <c r="V278">
        <v>156.5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  <c r="AF278">
        <f t="shared" si="8"/>
        <v>156.22307692307692</v>
      </c>
      <c r="AG278">
        <v>182.7</v>
      </c>
      <c r="AH278">
        <f>Table1[[#This Row],[Clothing and footwear]]</f>
        <v>155</v>
      </c>
      <c r="AI278">
        <v>156.5</v>
      </c>
      <c r="AJ278">
        <v>146.80000000000001</v>
      </c>
      <c r="AK278">
        <f>AVERAGE(Table1[[#This Row],[Household goods and services]],Table1[[#This Row],[Personal care and effects]])</f>
        <v>154.1</v>
      </c>
      <c r="AL278">
        <f>Table1[[#This Row],[Health]]</f>
        <v>159.5</v>
      </c>
      <c r="AM278">
        <v>146.4</v>
      </c>
      <c r="AN278">
        <f>AVERAGE(Table1[[#This Row],[Education]],Table1[[#This Row],[Recreation and amusement]])</f>
        <v>157.44999999999999</v>
      </c>
      <c r="AO278">
        <f>Table1[[#This Row],[Miscellaneous]]</f>
        <v>154.30000000000001</v>
      </c>
      <c r="AP278" t="str">
        <f t="shared" si="9"/>
        <v>Post-COVID</v>
      </c>
    </row>
    <row r="279" spans="1:42" x14ac:dyDescent="0.25">
      <c r="A279" t="s">
        <v>33</v>
      </c>
      <c r="B279">
        <v>2020</v>
      </c>
      <c r="C279" t="s">
        <v>43</v>
      </c>
      <c r="D279" s="3">
        <f>DATE(B279,MATCH(C279,{"January","February","March","April","May","June","July","August","September","October","November","December"},0),1)</f>
        <v>44105</v>
      </c>
      <c r="E279">
        <v>150.6</v>
      </c>
      <c r="F279">
        <v>193.7</v>
      </c>
      <c r="G279">
        <v>164.8</v>
      </c>
      <c r="H279">
        <v>153.69999999999999</v>
      </c>
      <c r="I279">
        <v>135.69999999999999</v>
      </c>
      <c r="J279">
        <v>155.69999999999999</v>
      </c>
      <c r="K279">
        <v>226</v>
      </c>
      <c r="L279">
        <v>152.19999999999999</v>
      </c>
      <c r="M279">
        <v>118.1</v>
      </c>
      <c r="N279">
        <v>161.30000000000001</v>
      </c>
      <c r="O279">
        <v>139.19999999999999</v>
      </c>
      <c r="P279">
        <v>164.8</v>
      </c>
      <c r="Q279">
        <v>164.4</v>
      </c>
      <c r="R279">
        <v>188.7</v>
      </c>
      <c r="S279">
        <v>150.5</v>
      </c>
      <c r="T279">
        <v>136.1</v>
      </c>
      <c r="U279">
        <v>148.30000000000001</v>
      </c>
      <c r="V279">
        <v>156.5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  <c r="AF279">
        <f t="shared" si="8"/>
        <v>160.01538461538459</v>
      </c>
      <c r="AG279">
        <v>188.7</v>
      </c>
      <c r="AH279">
        <f>Table1[[#This Row],[Clothing and footwear]]</f>
        <v>148.30000000000001</v>
      </c>
      <c r="AI279">
        <v>156.5</v>
      </c>
      <c r="AJ279">
        <v>137.1</v>
      </c>
      <c r="AK279">
        <f>AVERAGE(Table1[[#This Row],[Household goods and services]],Table1[[#This Row],[Personal care and effects]])</f>
        <v>151.6</v>
      </c>
      <c r="AL279">
        <f>Table1[[#This Row],[Health]]</f>
        <v>151</v>
      </c>
      <c r="AM279">
        <v>135.4</v>
      </c>
      <c r="AN279">
        <f>AVERAGE(Table1[[#This Row],[Education]],Table1[[#This Row],[Recreation and amusement]])</f>
        <v>148.85</v>
      </c>
      <c r="AO279">
        <f>Table1[[#This Row],[Miscellaneous]]</f>
        <v>146.19999999999999</v>
      </c>
      <c r="AP279" t="str">
        <f t="shared" si="9"/>
        <v>Post-COVID</v>
      </c>
    </row>
    <row r="280" spans="1:42" x14ac:dyDescent="0.25">
      <c r="A280" t="s">
        <v>34</v>
      </c>
      <c r="B280">
        <v>2020</v>
      </c>
      <c r="C280" t="s">
        <v>43</v>
      </c>
      <c r="D280" s="3">
        <f>DATE(B280,MATCH(C280,{"January","February","March","April","May","June","July","August","September","October","November","December"},0),1)</f>
        <v>44105</v>
      </c>
      <c r="E280">
        <v>147.5</v>
      </c>
      <c r="F280">
        <v>188.9</v>
      </c>
      <c r="G280">
        <v>161.4</v>
      </c>
      <c r="H280">
        <v>153.6</v>
      </c>
      <c r="I280">
        <v>140.1</v>
      </c>
      <c r="J280">
        <v>151.19999999999999</v>
      </c>
      <c r="K280">
        <v>209.2</v>
      </c>
      <c r="L280">
        <v>150.9</v>
      </c>
      <c r="M280">
        <v>116.2</v>
      </c>
      <c r="N280">
        <v>161</v>
      </c>
      <c r="O280">
        <v>144</v>
      </c>
      <c r="P280">
        <v>163.19999999999999</v>
      </c>
      <c r="Q280">
        <v>161.4</v>
      </c>
      <c r="R280">
        <v>184.3</v>
      </c>
      <c r="S280">
        <v>153.69999999999999</v>
      </c>
      <c r="T280">
        <v>144.6</v>
      </c>
      <c r="U280">
        <v>152.30000000000001</v>
      </c>
      <c r="V280">
        <v>156.5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  <c r="AF280">
        <f t="shared" si="8"/>
        <v>157.5846153846154</v>
      </c>
      <c r="AG280">
        <v>184.3</v>
      </c>
      <c r="AH280">
        <f>Table1[[#This Row],[Clothing and footwear]]</f>
        <v>152.30000000000001</v>
      </c>
      <c r="AI280">
        <v>156.5</v>
      </c>
      <c r="AJ280">
        <v>143.1</v>
      </c>
      <c r="AK280">
        <f>AVERAGE(Table1[[#This Row],[Household goods and services]],Table1[[#This Row],[Personal care and effects]])</f>
        <v>152.85</v>
      </c>
      <c r="AL280">
        <f>Table1[[#This Row],[Health]]</f>
        <v>156.30000000000001</v>
      </c>
      <c r="AM280">
        <v>140.6</v>
      </c>
      <c r="AN280">
        <f>AVERAGE(Table1[[#This Row],[Education]],Table1[[#This Row],[Recreation and amusement]])</f>
        <v>152.5</v>
      </c>
      <c r="AO280">
        <f>Table1[[#This Row],[Miscellaneous]]</f>
        <v>150.4</v>
      </c>
      <c r="AP280" t="str">
        <f t="shared" si="9"/>
        <v>Post-COVID</v>
      </c>
    </row>
    <row r="281" spans="1:42" x14ac:dyDescent="0.25">
      <c r="A281" t="s">
        <v>30</v>
      </c>
      <c r="B281">
        <v>2020</v>
      </c>
      <c r="C281" t="s">
        <v>45</v>
      </c>
      <c r="D281" s="3">
        <f>DATE(B281,MATCH(C281,{"January","February","March","April","May","June","July","August","September","October","November","December"},0),1)</f>
        <v>44136</v>
      </c>
      <c r="E281">
        <v>145.4</v>
      </c>
      <c r="F281">
        <v>188.6</v>
      </c>
      <c r="G281">
        <v>171.6</v>
      </c>
      <c r="H281">
        <v>153.80000000000001</v>
      </c>
      <c r="I281">
        <v>145.4</v>
      </c>
      <c r="J281">
        <v>146.5</v>
      </c>
      <c r="K281">
        <v>222.2</v>
      </c>
      <c r="L281">
        <v>155.9</v>
      </c>
      <c r="M281">
        <v>114.9</v>
      </c>
      <c r="N281">
        <v>162</v>
      </c>
      <c r="O281">
        <v>150</v>
      </c>
      <c r="P281">
        <v>162.69999999999999</v>
      </c>
      <c r="Q281">
        <v>163.4</v>
      </c>
      <c r="R281">
        <v>183.4</v>
      </c>
      <c r="S281">
        <v>156.30000000000001</v>
      </c>
      <c r="T281">
        <v>151</v>
      </c>
      <c r="U281">
        <v>155.5</v>
      </c>
      <c r="V281">
        <v>158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  <c r="AF281">
        <f t="shared" si="8"/>
        <v>160.1846153846154</v>
      </c>
      <c r="AG281">
        <v>183.4</v>
      </c>
      <c r="AH281">
        <f>Table1[[#This Row],[Clothing and footwear]]</f>
        <v>155.5</v>
      </c>
      <c r="AI281">
        <v>158</v>
      </c>
      <c r="AJ281">
        <v>147.5</v>
      </c>
      <c r="AK281">
        <f>AVERAGE(Table1[[#This Row],[Household goods and services]],Table1[[#This Row],[Personal care and effects]])</f>
        <v>154.5</v>
      </c>
      <c r="AL281">
        <f>Table1[[#This Row],[Health]]</f>
        <v>160.4</v>
      </c>
      <c r="AM281">
        <v>146.1</v>
      </c>
      <c r="AN281">
        <f>AVERAGE(Table1[[#This Row],[Education]],Table1[[#This Row],[Recreation and amusement]])</f>
        <v>157.6</v>
      </c>
      <c r="AO281">
        <f>Table1[[#This Row],[Miscellaneous]]</f>
        <v>154.5</v>
      </c>
      <c r="AP281" t="str">
        <f t="shared" si="9"/>
        <v>Post-COVID</v>
      </c>
    </row>
    <row r="282" spans="1:42" x14ac:dyDescent="0.25">
      <c r="A282" t="s">
        <v>33</v>
      </c>
      <c r="B282">
        <v>2020</v>
      </c>
      <c r="C282" t="s">
        <v>45</v>
      </c>
      <c r="D282" s="3">
        <f>DATE(B282,MATCH(C282,{"January","February","March","April","May","June","July","August","September","October","November","December"},0),1)</f>
        <v>44136</v>
      </c>
      <c r="E282">
        <v>149.69999999999999</v>
      </c>
      <c r="F282">
        <v>195.5</v>
      </c>
      <c r="G282">
        <v>176.9</v>
      </c>
      <c r="H282">
        <v>153.9</v>
      </c>
      <c r="I282">
        <v>138</v>
      </c>
      <c r="J282">
        <v>150.5</v>
      </c>
      <c r="K282">
        <v>245.3</v>
      </c>
      <c r="L282">
        <v>158.69999999999999</v>
      </c>
      <c r="M282">
        <v>117.2</v>
      </c>
      <c r="N282">
        <v>161.4</v>
      </c>
      <c r="O282">
        <v>141.5</v>
      </c>
      <c r="P282">
        <v>165.1</v>
      </c>
      <c r="Q282">
        <v>167</v>
      </c>
      <c r="R282">
        <v>188.8</v>
      </c>
      <c r="S282">
        <v>151.1</v>
      </c>
      <c r="T282">
        <v>136.4</v>
      </c>
      <c r="U282">
        <v>148.80000000000001</v>
      </c>
      <c r="V282">
        <v>158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  <c r="AF282">
        <f t="shared" si="8"/>
        <v>163.1307692307692</v>
      </c>
      <c r="AG282">
        <v>188.8</v>
      </c>
      <c r="AH282">
        <f>Table1[[#This Row],[Clothing and footwear]]</f>
        <v>148.80000000000001</v>
      </c>
      <c r="AI282">
        <v>158</v>
      </c>
      <c r="AJ282">
        <v>137.30000000000001</v>
      </c>
      <c r="AK282">
        <f>AVERAGE(Table1[[#This Row],[Household goods and services]],Table1[[#This Row],[Personal care and effects]])</f>
        <v>151.5</v>
      </c>
      <c r="AL282">
        <f>Table1[[#This Row],[Health]]</f>
        <v>152</v>
      </c>
      <c r="AM282">
        <v>135.19999999999999</v>
      </c>
      <c r="AN282">
        <f>AVERAGE(Table1[[#This Row],[Education]],Table1[[#This Row],[Recreation and amusement]])</f>
        <v>150.4</v>
      </c>
      <c r="AO282">
        <f>Table1[[#This Row],[Miscellaneous]]</f>
        <v>146.6</v>
      </c>
      <c r="AP282" t="str">
        <f t="shared" si="9"/>
        <v>Post-COVID</v>
      </c>
    </row>
    <row r="283" spans="1:42" x14ac:dyDescent="0.25">
      <c r="A283" t="s">
        <v>34</v>
      </c>
      <c r="B283">
        <v>2020</v>
      </c>
      <c r="C283" t="s">
        <v>45</v>
      </c>
      <c r="D283" s="3">
        <f>DATE(B283,MATCH(C283,{"January","February","March","April","May","June","July","August","September","October","November","December"},0),1)</f>
        <v>44136</v>
      </c>
      <c r="E283">
        <v>146.80000000000001</v>
      </c>
      <c r="F283">
        <v>191</v>
      </c>
      <c r="G283">
        <v>173.6</v>
      </c>
      <c r="H283">
        <v>153.80000000000001</v>
      </c>
      <c r="I283">
        <v>142.69999999999999</v>
      </c>
      <c r="J283">
        <v>148.4</v>
      </c>
      <c r="K283">
        <v>230</v>
      </c>
      <c r="L283">
        <v>156.80000000000001</v>
      </c>
      <c r="M283">
        <v>115.7</v>
      </c>
      <c r="N283">
        <v>161.80000000000001</v>
      </c>
      <c r="O283">
        <v>146.5</v>
      </c>
      <c r="P283">
        <v>163.80000000000001</v>
      </c>
      <c r="Q283">
        <v>164.7</v>
      </c>
      <c r="R283">
        <v>184.8</v>
      </c>
      <c r="S283">
        <v>154.30000000000001</v>
      </c>
      <c r="T283">
        <v>144.9</v>
      </c>
      <c r="U283">
        <v>152.80000000000001</v>
      </c>
      <c r="V283">
        <v>158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  <c r="AF283">
        <f t="shared" si="8"/>
        <v>161.19999999999999</v>
      </c>
      <c r="AG283">
        <v>184.8</v>
      </c>
      <c r="AH283">
        <f>Table1[[#This Row],[Clothing and footwear]]</f>
        <v>152.80000000000001</v>
      </c>
      <c r="AI283">
        <v>158</v>
      </c>
      <c r="AJ283">
        <v>143.6</v>
      </c>
      <c r="AK283">
        <f>AVERAGE(Table1[[#This Row],[Household goods and services]],Table1[[#This Row],[Personal care and effects]])</f>
        <v>153.05000000000001</v>
      </c>
      <c r="AL283">
        <f>Table1[[#This Row],[Health]]</f>
        <v>157.19999999999999</v>
      </c>
      <c r="AM283">
        <v>140.4</v>
      </c>
      <c r="AN283">
        <f>AVERAGE(Table1[[#This Row],[Education]],Table1[[#This Row],[Recreation and amusement]])</f>
        <v>153.5</v>
      </c>
      <c r="AO283">
        <f>Table1[[#This Row],[Miscellaneous]]</f>
        <v>150.69999999999999</v>
      </c>
      <c r="AP283" t="str">
        <f t="shared" si="9"/>
        <v>Post-COVID</v>
      </c>
    </row>
    <row r="284" spans="1:42" x14ac:dyDescent="0.25">
      <c r="A284" t="s">
        <v>30</v>
      </c>
      <c r="B284">
        <v>2020</v>
      </c>
      <c r="C284" t="s">
        <v>46</v>
      </c>
      <c r="D284" s="3">
        <f>DATE(B284,MATCH(C284,{"January","February","March","April","May","June","July","August","September","October","November","December"},0),1)</f>
        <v>44166</v>
      </c>
      <c r="E284">
        <v>144.6</v>
      </c>
      <c r="F284">
        <v>188.5</v>
      </c>
      <c r="G284">
        <v>173.4</v>
      </c>
      <c r="H284">
        <v>154</v>
      </c>
      <c r="I284">
        <v>150</v>
      </c>
      <c r="J284">
        <v>145.9</v>
      </c>
      <c r="K284">
        <v>225.2</v>
      </c>
      <c r="L284">
        <v>159.5</v>
      </c>
      <c r="M284">
        <v>114.4</v>
      </c>
      <c r="N284">
        <v>163.5</v>
      </c>
      <c r="O284">
        <v>153.4</v>
      </c>
      <c r="P284">
        <v>163.6</v>
      </c>
      <c r="Q284">
        <v>164.5</v>
      </c>
      <c r="R284">
        <v>183.6</v>
      </c>
      <c r="S284">
        <v>157</v>
      </c>
      <c r="T284">
        <v>151.6</v>
      </c>
      <c r="U284">
        <v>156.30000000000001</v>
      </c>
      <c r="V284">
        <v>158.4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  <c r="AF284">
        <f t="shared" si="8"/>
        <v>161.57692307692307</v>
      </c>
      <c r="AG284">
        <v>183.6</v>
      </c>
      <c r="AH284">
        <f>Table1[[#This Row],[Clothing and footwear]]</f>
        <v>156.30000000000001</v>
      </c>
      <c r="AI284">
        <v>158.4</v>
      </c>
      <c r="AJ284">
        <v>148.69999999999999</v>
      </c>
      <c r="AK284">
        <f>AVERAGE(Table1[[#This Row],[Household goods and services]],Table1[[#This Row],[Personal care and effects]])</f>
        <v>155</v>
      </c>
      <c r="AL284">
        <f>Table1[[#This Row],[Health]]</f>
        <v>161.6</v>
      </c>
      <c r="AM284">
        <v>146.4</v>
      </c>
      <c r="AN284">
        <f>AVERAGE(Table1[[#This Row],[Education]],Table1[[#This Row],[Recreation and amusement]])</f>
        <v>158.4</v>
      </c>
      <c r="AO284">
        <f>Table1[[#This Row],[Miscellaneous]]</f>
        <v>155.19999999999999</v>
      </c>
      <c r="AP284" t="str">
        <f t="shared" si="9"/>
        <v>Post-COVID</v>
      </c>
    </row>
    <row r="285" spans="1:42" x14ac:dyDescent="0.25">
      <c r="A285" t="s">
        <v>33</v>
      </c>
      <c r="B285">
        <v>2020</v>
      </c>
      <c r="C285" t="s">
        <v>46</v>
      </c>
      <c r="D285" s="3">
        <f>DATE(B285,MATCH(C285,{"January","February","March","April","May","June","July","August","September","October","November","December"},0),1)</f>
        <v>44166</v>
      </c>
      <c r="E285">
        <v>149</v>
      </c>
      <c r="F285">
        <v>195.7</v>
      </c>
      <c r="G285">
        <v>178.3</v>
      </c>
      <c r="H285">
        <v>154.19999999999999</v>
      </c>
      <c r="I285">
        <v>140.69999999999999</v>
      </c>
      <c r="J285">
        <v>149.69999999999999</v>
      </c>
      <c r="K285">
        <v>240.9</v>
      </c>
      <c r="L285">
        <v>161.5</v>
      </c>
      <c r="M285">
        <v>117.1</v>
      </c>
      <c r="N285">
        <v>161.9</v>
      </c>
      <c r="O285">
        <v>143.30000000000001</v>
      </c>
      <c r="P285">
        <v>166.1</v>
      </c>
      <c r="Q285">
        <v>167</v>
      </c>
      <c r="R285">
        <v>190.2</v>
      </c>
      <c r="S285">
        <v>151.9</v>
      </c>
      <c r="T285">
        <v>136.69999999999999</v>
      </c>
      <c r="U285">
        <v>149.6</v>
      </c>
      <c r="V285">
        <v>158.4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  <c r="AF285">
        <f t="shared" si="8"/>
        <v>163.49230769230769</v>
      </c>
      <c r="AG285">
        <v>190.2</v>
      </c>
      <c r="AH285">
        <f>Table1[[#This Row],[Clothing and footwear]]</f>
        <v>149.6</v>
      </c>
      <c r="AI285">
        <v>158.4</v>
      </c>
      <c r="AJ285">
        <v>137.9</v>
      </c>
      <c r="AK285">
        <f>AVERAGE(Table1[[#This Row],[Household goods and services]],Table1[[#This Row],[Personal care and effects]])</f>
        <v>151.69999999999999</v>
      </c>
      <c r="AL285">
        <f>Table1[[#This Row],[Health]]</f>
        <v>152.9</v>
      </c>
      <c r="AM285">
        <v>135.5</v>
      </c>
      <c r="AN285">
        <f>AVERAGE(Table1[[#This Row],[Education]],Table1[[#This Row],[Recreation and amusement]])</f>
        <v>150.60000000000002</v>
      </c>
      <c r="AO285">
        <f>Table1[[#This Row],[Miscellaneous]]</f>
        <v>146.9</v>
      </c>
      <c r="AP285" t="str">
        <f t="shared" si="9"/>
        <v>Post-COVID</v>
      </c>
    </row>
    <row r="286" spans="1:42" x14ac:dyDescent="0.25">
      <c r="A286" t="s">
        <v>34</v>
      </c>
      <c r="B286">
        <v>2020</v>
      </c>
      <c r="C286" t="s">
        <v>46</v>
      </c>
      <c r="D286" s="3">
        <f>DATE(B286,MATCH(C286,{"January","February","March","April","May","June","July","August","September","October","November","December"},0),1)</f>
        <v>44166</v>
      </c>
      <c r="E286">
        <v>146</v>
      </c>
      <c r="F286">
        <v>191</v>
      </c>
      <c r="G286">
        <v>175.3</v>
      </c>
      <c r="H286">
        <v>154.1</v>
      </c>
      <c r="I286">
        <v>146.6</v>
      </c>
      <c r="J286">
        <v>147.69999999999999</v>
      </c>
      <c r="K286">
        <v>230.5</v>
      </c>
      <c r="L286">
        <v>160.19999999999999</v>
      </c>
      <c r="M286">
        <v>115.3</v>
      </c>
      <c r="N286">
        <v>163</v>
      </c>
      <c r="O286">
        <v>149.19999999999999</v>
      </c>
      <c r="P286">
        <v>164.8</v>
      </c>
      <c r="Q286">
        <v>165.4</v>
      </c>
      <c r="R286">
        <v>185.4</v>
      </c>
      <c r="S286">
        <v>155</v>
      </c>
      <c r="T286">
        <v>145.4</v>
      </c>
      <c r="U286">
        <v>153.6</v>
      </c>
      <c r="V286">
        <v>158.4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  <c r="AF286">
        <f t="shared" si="8"/>
        <v>162.23846153846154</v>
      </c>
      <c r="AG286">
        <v>185.4</v>
      </c>
      <c r="AH286">
        <f>Table1[[#This Row],[Clothing and footwear]]</f>
        <v>153.6</v>
      </c>
      <c r="AI286">
        <v>158.4</v>
      </c>
      <c r="AJ286">
        <v>144.6</v>
      </c>
      <c r="AK286">
        <f>AVERAGE(Table1[[#This Row],[Household goods and services]],Table1[[#This Row],[Personal care and effects]])</f>
        <v>153.39999999999998</v>
      </c>
      <c r="AL286">
        <f>Table1[[#This Row],[Health]]</f>
        <v>158.30000000000001</v>
      </c>
      <c r="AM286">
        <v>140.69999999999999</v>
      </c>
      <c r="AN286">
        <f>AVERAGE(Table1[[#This Row],[Education]],Table1[[#This Row],[Recreation and amusement]])</f>
        <v>153.94999999999999</v>
      </c>
      <c r="AO286">
        <f>Table1[[#This Row],[Miscellaneous]]</f>
        <v>151.19999999999999</v>
      </c>
      <c r="AP286" t="str">
        <f t="shared" si="9"/>
        <v>Post-COVID</v>
      </c>
    </row>
    <row r="287" spans="1:42" x14ac:dyDescent="0.25">
      <c r="A287" t="s">
        <v>30</v>
      </c>
      <c r="B287">
        <v>2021</v>
      </c>
      <c r="C287" t="s">
        <v>31</v>
      </c>
      <c r="D287" s="3">
        <f>DATE(B287,MATCH(C287,{"January","February","March","April","May","June","July","August","September","October","November","December"},0),1)</f>
        <v>44197</v>
      </c>
      <c r="E287">
        <v>143.4</v>
      </c>
      <c r="F287">
        <v>187.5</v>
      </c>
      <c r="G287">
        <v>173.4</v>
      </c>
      <c r="H287">
        <v>154</v>
      </c>
      <c r="I287">
        <v>154.80000000000001</v>
      </c>
      <c r="J287">
        <v>147</v>
      </c>
      <c r="K287">
        <v>187.8</v>
      </c>
      <c r="L287">
        <v>159.5</v>
      </c>
      <c r="M287">
        <v>113.8</v>
      </c>
      <c r="N287">
        <v>164.5</v>
      </c>
      <c r="O287">
        <v>156.1</v>
      </c>
      <c r="P287">
        <v>164.3</v>
      </c>
      <c r="Q287">
        <v>159.6</v>
      </c>
      <c r="R287">
        <v>184.6</v>
      </c>
      <c r="S287">
        <v>157.5</v>
      </c>
      <c r="T287">
        <v>152.4</v>
      </c>
      <c r="U287">
        <v>156.80000000000001</v>
      </c>
      <c r="V287">
        <v>157.69999999999999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  <c r="AF287">
        <f t="shared" si="8"/>
        <v>158.89999999999998</v>
      </c>
      <c r="AG287">
        <v>184.6</v>
      </c>
      <c r="AH287">
        <f>Table1[[#This Row],[Clothing and footwear]]</f>
        <v>156.80000000000001</v>
      </c>
      <c r="AI287">
        <v>157.69999999999999</v>
      </c>
      <c r="AJ287">
        <v>150.9</v>
      </c>
      <c r="AK287">
        <f>AVERAGE(Table1[[#This Row],[Household goods and services]],Table1[[#This Row],[Personal care and effects]])</f>
        <v>155.05000000000001</v>
      </c>
      <c r="AL287">
        <f>Table1[[#This Row],[Health]]</f>
        <v>162.5</v>
      </c>
      <c r="AM287">
        <v>147.5</v>
      </c>
      <c r="AN287">
        <f>AVERAGE(Table1[[#This Row],[Education]],Table1[[#This Row],[Recreation and amusement]])</f>
        <v>159.30000000000001</v>
      </c>
      <c r="AO287">
        <f>Table1[[#This Row],[Miscellaneous]]</f>
        <v>155.9</v>
      </c>
      <c r="AP287" t="str">
        <f t="shared" si="9"/>
        <v>Post-COVID</v>
      </c>
    </row>
    <row r="288" spans="1:42" x14ac:dyDescent="0.25">
      <c r="A288" t="s">
        <v>33</v>
      </c>
      <c r="B288">
        <v>2021</v>
      </c>
      <c r="C288" t="s">
        <v>31</v>
      </c>
      <c r="D288" s="3">
        <f>DATE(B288,MATCH(C288,{"January","February","March","April","May","June","July","August","September","October","November","December"},0),1)</f>
        <v>44197</v>
      </c>
      <c r="E288">
        <v>148</v>
      </c>
      <c r="F288">
        <v>194.8</v>
      </c>
      <c r="G288">
        <v>178.4</v>
      </c>
      <c r="H288">
        <v>154.4</v>
      </c>
      <c r="I288">
        <v>144.1</v>
      </c>
      <c r="J288">
        <v>152.6</v>
      </c>
      <c r="K288">
        <v>206.8</v>
      </c>
      <c r="L288">
        <v>162.1</v>
      </c>
      <c r="M288">
        <v>116.3</v>
      </c>
      <c r="N288">
        <v>163</v>
      </c>
      <c r="O288">
        <v>145.9</v>
      </c>
      <c r="P288">
        <v>167.2</v>
      </c>
      <c r="Q288">
        <v>163.4</v>
      </c>
      <c r="R288">
        <v>191.8</v>
      </c>
      <c r="S288">
        <v>152.5</v>
      </c>
      <c r="T288">
        <v>137.30000000000001</v>
      </c>
      <c r="U288">
        <v>150.19999999999999</v>
      </c>
      <c r="V288">
        <v>157.69999999999999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  <c r="AF288">
        <f t="shared" si="8"/>
        <v>161.30769230769232</v>
      </c>
      <c r="AG288">
        <v>191.8</v>
      </c>
      <c r="AH288">
        <f>Table1[[#This Row],[Clothing and footwear]]</f>
        <v>150.19999999999999</v>
      </c>
      <c r="AI288">
        <v>157.69999999999999</v>
      </c>
      <c r="AJ288">
        <v>142.9</v>
      </c>
      <c r="AK288">
        <f>AVERAGE(Table1[[#This Row],[Household goods and services]],Table1[[#This Row],[Personal care and effects]])</f>
        <v>151.69999999999999</v>
      </c>
      <c r="AL288">
        <f>Table1[[#This Row],[Health]]</f>
        <v>154.1</v>
      </c>
      <c r="AM288">
        <v>136.9</v>
      </c>
      <c r="AN288">
        <f>AVERAGE(Table1[[#This Row],[Education]],Table1[[#This Row],[Recreation and amusement]])</f>
        <v>150.75</v>
      </c>
      <c r="AO288">
        <f>Table1[[#This Row],[Miscellaneous]]</f>
        <v>147.6</v>
      </c>
      <c r="AP288" t="str">
        <f t="shared" si="9"/>
        <v>Post-COVID</v>
      </c>
    </row>
    <row r="289" spans="1:42" x14ac:dyDescent="0.25">
      <c r="A289" t="s">
        <v>34</v>
      </c>
      <c r="B289">
        <v>2021</v>
      </c>
      <c r="C289" t="s">
        <v>31</v>
      </c>
      <c r="D289" s="3">
        <f>DATE(B289,MATCH(C289,{"January","February","March","April","May","June","July","August","September","October","November","December"},0),1)</f>
        <v>44197</v>
      </c>
      <c r="E289">
        <v>144.9</v>
      </c>
      <c r="F289">
        <v>190.1</v>
      </c>
      <c r="G289">
        <v>175.3</v>
      </c>
      <c r="H289">
        <v>154.1</v>
      </c>
      <c r="I289">
        <v>150.9</v>
      </c>
      <c r="J289">
        <v>149.6</v>
      </c>
      <c r="K289">
        <v>194.2</v>
      </c>
      <c r="L289">
        <v>160.4</v>
      </c>
      <c r="M289">
        <v>114.6</v>
      </c>
      <c r="N289">
        <v>164</v>
      </c>
      <c r="O289">
        <v>151.80000000000001</v>
      </c>
      <c r="P289">
        <v>165.6</v>
      </c>
      <c r="Q289">
        <v>161</v>
      </c>
      <c r="R289">
        <v>186.5</v>
      </c>
      <c r="S289">
        <v>155.5</v>
      </c>
      <c r="T289">
        <v>146.1</v>
      </c>
      <c r="U289">
        <v>154.19999999999999</v>
      </c>
      <c r="V289">
        <v>157.69999999999999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  <c r="AF289">
        <f t="shared" si="8"/>
        <v>159.73076923076923</v>
      </c>
      <c r="AG289">
        <v>186.5</v>
      </c>
      <c r="AH289">
        <f>Table1[[#This Row],[Clothing and footwear]]</f>
        <v>154.19999999999999</v>
      </c>
      <c r="AI289">
        <v>157.69999999999999</v>
      </c>
      <c r="AJ289">
        <v>147.9</v>
      </c>
      <c r="AK289">
        <f>AVERAGE(Table1[[#This Row],[Household goods and services]],Table1[[#This Row],[Personal care and effects]])</f>
        <v>153.4</v>
      </c>
      <c r="AL289">
        <f>Table1[[#This Row],[Health]]</f>
        <v>159.30000000000001</v>
      </c>
      <c r="AM289">
        <v>141.9</v>
      </c>
      <c r="AN289">
        <f>AVERAGE(Table1[[#This Row],[Education]],Table1[[#This Row],[Recreation and amusement]])</f>
        <v>154.39999999999998</v>
      </c>
      <c r="AO289">
        <f>Table1[[#This Row],[Miscellaneous]]</f>
        <v>151.9</v>
      </c>
      <c r="AP289" t="str">
        <f t="shared" si="9"/>
        <v>Post-COVID</v>
      </c>
    </row>
    <row r="290" spans="1:42" x14ac:dyDescent="0.25">
      <c r="A290" t="s">
        <v>30</v>
      </c>
      <c r="B290">
        <v>2021</v>
      </c>
      <c r="C290" t="s">
        <v>35</v>
      </c>
      <c r="D290" s="3">
        <f>DATE(B290,MATCH(C290,{"January","February","March","April","May","June","July","August","September","October","November","December"},0),1)</f>
        <v>44228</v>
      </c>
      <c r="E290">
        <v>142.80000000000001</v>
      </c>
      <c r="F290">
        <v>184</v>
      </c>
      <c r="G290">
        <v>168</v>
      </c>
      <c r="H290">
        <v>154.4</v>
      </c>
      <c r="I290">
        <v>163</v>
      </c>
      <c r="J290">
        <v>147.80000000000001</v>
      </c>
      <c r="K290">
        <v>149.69999999999999</v>
      </c>
      <c r="L290">
        <v>158.30000000000001</v>
      </c>
      <c r="M290">
        <v>111.8</v>
      </c>
      <c r="N290">
        <v>165</v>
      </c>
      <c r="O290">
        <v>160</v>
      </c>
      <c r="P290">
        <v>165.8</v>
      </c>
      <c r="Q290">
        <v>154.69999999999999</v>
      </c>
      <c r="R290">
        <v>186.5</v>
      </c>
      <c r="S290">
        <v>159.1</v>
      </c>
      <c r="T290">
        <v>153.9</v>
      </c>
      <c r="U290">
        <v>158.4</v>
      </c>
      <c r="V290">
        <v>159.80000000000001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  <c r="AF290">
        <f t="shared" si="8"/>
        <v>155.7923076923077</v>
      </c>
      <c r="AG290">
        <v>186.5</v>
      </c>
      <c r="AH290">
        <f>Table1[[#This Row],[Clothing and footwear]]</f>
        <v>158.4</v>
      </c>
      <c r="AI290">
        <v>159.80000000000001</v>
      </c>
      <c r="AJ290">
        <v>154.4</v>
      </c>
      <c r="AK290">
        <f>AVERAGE(Table1[[#This Row],[Household goods and services]],Table1[[#This Row],[Personal care and effects]])</f>
        <v>155</v>
      </c>
      <c r="AL290">
        <f>Table1[[#This Row],[Health]]</f>
        <v>164.3</v>
      </c>
      <c r="AM290">
        <v>150.19999999999999</v>
      </c>
      <c r="AN290">
        <f>AVERAGE(Table1[[#This Row],[Education]],Table1[[#This Row],[Recreation and amusement]])</f>
        <v>160.30000000000001</v>
      </c>
      <c r="AO290">
        <f>Table1[[#This Row],[Miscellaneous]]</f>
        <v>157.19999999999999</v>
      </c>
      <c r="AP290" t="str">
        <f t="shared" si="9"/>
        <v>Post-COVID</v>
      </c>
    </row>
    <row r="291" spans="1:42" x14ac:dyDescent="0.25">
      <c r="A291" t="s">
        <v>33</v>
      </c>
      <c r="B291">
        <v>2021</v>
      </c>
      <c r="C291" t="s">
        <v>35</v>
      </c>
      <c r="D291" s="3">
        <f>DATE(B291,MATCH(C291,{"January","February","March","April","May","June","July","August","September","October","November","December"},0),1)</f>
        <v>44228</v>
      </c>
      <c r="E291">
        <v>147.6</v>
      </c>
      <c r="F291">
        <v>191.2</v>
      </c>
      <c r="G291">
        <v>169.9</v>
      </c>
      <c r="H291">
        <v>155.1</v>
      </c>
      <c r="I291">
        <v>151.4</v>
      </c>
      <c r="J291">
        <v>154</v>
      </c>
      <c r="K291">
        <v>180.2</v>
      </c>
      <c r="L291">
        <v>159.80000000000001</v>
      </c>
      <c r="M291">
        <v>114.9</v>
      </c>
      <c r="N291">
        <v>162.5</v>
      </c>
      <c r="O291">
        <v>149.19999999999999</v>
      </c>
      <c r="P291">
        <v>169.4</v>
      </c>
      <c r="Q291">
        <v>160.80000000000001</v>
      </c>
      <c r="R291">
        <v>193.3</v>
      </c>
      <c r="S291">
        <v>154.19999999999999</v>
      </c>
      <c r="T291">
        <v>138.19999999999999</v>
      </c>
      <c r="U291">
        <v>151.80000000000001</v>
      </c>
      <c r="V291">
        <v>159.80000000000001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  <c r="AF291">
        <f t="shared" si="8"/>
        <v>158.92307692307693</v>
      </c>
      <c r="AG291">
        <v>193.3</v>
      </c>
      <c r="AH291">
        <f>Table1[[#This Row],[Clothing and footwear]]</f>
        <v>151.80000000000001</v>
      </c>
      <c r="AI291">
        <v>159.80000000000001</v>
      </c>
      <c r="AJ291">
        <v>149.1</v>
      </c>
      <c r="AK291">
        <f>AVERAGE(Table1[[#This Row],[Household goods and services]],Table1[[#This Row],[Personal care and effects]])</f>
        <v>151.6</v>
      </c>
      <c r="AL291">
        <f>Table1[[#This Row],[Health]]</f>
        <v>156.30000000000001</v>
      </c>
      <c r="AM291">
        <v>140.5</v>
      </c>
      <c r="AN291">
        <f>AVERAGE(Table1[[#This Row],[Education]],Table1[[#This Row],[Recreation and amusement]])</f>
        <v>151.94999999999999</v>
      </c>
      <c r="AO291">
        <f>Table1[[#This Row],[Miscellaneous]]</f>
        <v>149.30000000000001</v>
      </c>
      <c r="AP291" t="str">
        <f t="shared" si="9"/>
        <v>Post-COVID</v>
      </c>
    </row>
    <row r="292" spans="1:42" x14ac:dyDescent="0.25">
      <c r="A292" t="s">
        <v>34</v>
      </c>
      <c r="B292">
        <v>2021</v>
      </c>
      <c r="C292" t="s">
        <v>35</v>
      </c>
      <c r="D292" s="3">
        <f>DATE(B292,MATCH(C292,{"January","February","March","April","May","June","July","August","September","October","November","December"},0),1)</f>
        <v>44228</v>
      </c>
      <c r="E292">
        <v>144.30000000000001</v>
      </c>
      <c r="F292">
        <v>186.5</v>
      </c>
      <c r="G292">
        <v>168.7</v>
      </c>
      <c r="H292">
        <v>154.69999999999999</v>
      </c>
      <c r="I292">
        <v>158.69999999999999</v>
      </c>
      <c r="J292">
        <v>150.69999999999999</v>
      </c>
      <c r="K292">
        <v>160</v>
      </c>
      <c r="L292">
        <v>158.80000000000001</v>
      </c>
      <c r="M292">
        <v>112.8</v>
      </c>
      <c r="N292">
        <v>164.2</v>
      </c>
      <c r="O292">
        <v>155.5</v>
      </c>
      <c r="P292">
        <v>167.5</v>
      </c>
      <c r="Q292">
        <v>156.9</v>
      </c>
      <c r="R292">
        <v>188.3</v>
      </c>
      <c r="S292">
        <v>157.19999999999999</v>
      </c>
      <c r="T292">
        <v>147.4</v>
      </c>
      <c r="U292">
        <v>155.80000000000001</v>
      </c>
      <c r="V292">
        <v>159.80000000000001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  <c r="AF292">
        <f t="shared" si="8"/>
        <v>156.8692307692308</v>
      </c>
      <c r="AG292">
        <v>188.3</v>
      </c>
      <c r="AH292">
        <f>Table1[[#This Row],[Clothing and footwear]]</f>
        <v>155.80000000000001</v>
      </c>
      <c r="AI292">
        <v>159.80000000000001</v>
      </c>
      <c r="AJ292">
        <v>152.4</v>
      </c>
      <c r="AK292">
        <f>AVERAGE(Table1[[#This Row],[Household goods and services]],Table1[[#This Row],[Personal care and effects]])</f>
        <v>153.35000000000002</v>
      </c>
      <c r="AL292">
        <f>Table1[[#This Row],[Health]]</f>
        <v>161.30000000000001</v>
      </c>
      <c r="AM292">
        <v>145.1</v>
      </c>
      <c r="AN292">
        <f>AVERAGE(Table1[[#This Row],[Education]],Table1[[#This Row],[Recreation and amusement]])</f>
        <v>155.5</v>
      </c>
      <c r="AO292">
        <f>Table1[[#This Row],[Miscellaneous]]</f>
        <v>153.4</v>
      </c>
      <c r="AP292" t="str">
        <f t="shared" si="9"/>
        <v>Post-COVID</v>
      </c>
    </row>
    <row r="293" spans="1:42" x14ac:dyDescent="0.25">
      <c r="A293" t="s">
        <v>30</v>
      </c>
      <c r="B293">
        <v>2021</v>
      </c>
      <c r="C293" t="s">
        <v>36</v>
      </c>
      <c r="D293" s="3">
        <f>DATE(B293,MATCH(C293,{"January","February","March","April","May","June","July","August","September","October","November","December"},0),1)</f>
        <v>44256</v>
      </c>
      <c r="E293">
        <v>142.5</v>
      </c>
      <c r="F293">
        <v>189.4</v>
      </c>
      <c r="G293">
        <v>163.19999999999999</v>
      </c>
      <c r="H293">
        <v>154.5</v>
      </c>
      <c r="I293">
        <v>168.2</v>
      </c>
      <c r="J293">
        <v>150.5</v>
      </c>
      <c r="K293">
        <v>141</v>
      </c>
      <c r="L293">
        <v>159.19999999999999</v>
      </c>
      <c r="M293">
        <v>111.7</v>
      </c>
      <c r="N293">
        <v>164</v>
      </c>
      <c r="O293">
        <v>160.6</v>
      </c>
      <c r="P293">
        <v>166.4</v>
      </c>
      <c r="Q293">
        <v>154.5</v>
      </c>
      <c r="R293">
        <v>186.1</v>
      </c>
      <c r="S293">
        <v>159.6</v>
      </c>
      <c r="T293">
        <v>154.4</v>
      </c>
      <c r="U293">
        <v>158.9</v>
      </c>
      <c r="V293">
        <v>159.9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  <c r="AF293">
        <f t="shared" si="8"/>
        <v>155.82307692307694</v>
      </c>
      <c r="AG293">
        <v>186.1</v>
      </c>
      <c r="AH293">
        <f>Table1[[#This Row],[Clothing and footwear]]</f>
        <v>158.9</v>
      </c>
      <c r="AI293">
        <v>159.9</v>
      </c>
      <c r="AJ293">
        <v>156</v>
      </c>
      <c r="AK293">
        <f>AVERAGE(Table1[[#This Row],[Household goods and services]],Table1[[#This Row],[Personal care and effects]])</f>
        <v>153.94999999999999</v>
      </c>
      <c r="AL293">
        <f>Table1[[#This Row],[Health]]</f>
        <v>164.6</v>
      </c>
      <c r="AM293">
        <v>151.30000000000001</v>
      </c>
      <c r="AN293">
        <f>AVERAGE(Table1[[#This Row],[Education]],Table1[[#This Row],[Recreation and amusement]])</f>
        <v>160.80000000000001</v>
      </c>
      <c r="AO293">
        <f>Table1[[#This Row],[Miscellaneous]]</f>
        <v>157.30000000000001</v>
      </c>
      <c r="AP293" t="str">
        <f t="shared" si="9"/>
        <v>Post-COVID</v>
      </c>
    </row>
    <row r="294" spans="1:42" x14ac:dyDescent="0.25">
      <c r="A294" t="s">
        <v>33</v>
      </c>
      <c r="B294">
        <v>2021</v>
      </c>
      <c r="C294" t="s">
        <v>36</v>
      </c>
      <c r="D294" s="3">
        <f>DATE(B294,MATCH(C294,{"January","February","March","April","May","June","July","August","September","October","November","December"},0),1)</f>
        <v>44256</v>
      </c>
      <c r="E294">
        <v>147.5</v>
      </c>
      <c r="F294">
        <v>197.5</v>
      </c>
      <c r="G294">
        <v>164.7</v>
      </c>
      <c r="H294">
        <v>155.6</v>
      </c>
      <c r="I294">
        <v>156.4</v>
      </c>
      <c r="J294">
        <v>157.30000000000001</v>
      </c>
      <c r="K294">
        <v>166.1</v>
      </c>
      <c r="L294">
        <v>161.1</v>
      </c>
      <c r="M294">
        <v>114.3</v>
      </c>
      <c r="N294">
        <v>162.6</v>
      </c>
      <c r="O294">
        <v>150.69999999999999</v>
      </c>
      <c r="P294">
        <v>170.3</v>
      </c>
      <c r="Q294">
        <v>160.4</v>
      </c>
      <c r="R294">
        <v>193.5</v>
      </c>
      <c r="S294">
        <v>155.1</v>
      </c>
      <c r="T294">
        <v>138.69999999999999</v>
      </c>
      <c r="U294">
        <v>152.6</v>
      </c>
      <c r="V294">
        <v>159.9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  <c r="AF294">
        <f t="shared" si="8"/>
        <v>158.80769230769226</v>
      </c>
      <c r="AG294">
        <v>193.5</v>
      </c>
      <c r="AH294">
        <f>Table1[[#This Row],[Clothing and footwear]]</f>
        <v>152.6</v>
      </c>
      <c r="AI294">
        <v>159.9</v>
      </c>
      <c r="AJ294">
        <v>154.80000000000001</v>
      </c>
      <c r="AK294">
        <f>AVERAGE(Table1[[#This Row],[Household goods and services]],Table1[[#This Row],[Personal care and effects]])</f>
        <v>151.05000000000001</v>
      </c>
      <c r="AL294">
        <f>Table1[[#This Row],[Health]]</f>
        <v>156.9</v>
      </c>
      <c r="AM294">
        <v>141.69999999999999</v>
      </c>
      <c r="AN294">
        <f>AVERAGE(Table1[[#This Row],[Education]],Table1[[#This Row],[Recreation and amusement]])</f>
        <v>153.1</v>
      </c>
      <c r="AO294">
        <f>Table1[[#This Row],[Miscellaneous]]</f>
        <v>150</v>
      </c>
      <c r="AP294" t="str">
        <f t="shared" si="9"/>
        <v>Post-COVID</v>
      </c>
    </row>
    <row r="295" spans="1:42" x14ac:dyDescent="0.25">
      <c r="A295" t="s">
        <v>34</v>
      </c>
      <c r="B295">
        <v>2021</v>
      </c>
      <c r="C295" t="s">
        <v>36</v>
      </c>
      <c r="D295" s="3">
        <f>DATE(B295,MATCH(C295,{"January","February","March","April","May","June","July","August","September","October","November","December"},0),1)</f>
        <v>44256</v>
      </c>
      <c r="E295">
        <v>144.1</v>
      </c>
      <c r="F295">
        <v>192.2</v>
      </c>
      <c r="G295">
        <v>163.80000000000001</v>
      </c>
      <c r="H295">
        <v>154.9</v>
      </c>
      <c r="I295">
        <v>163.9</v>
      </c>
      <c r="J295">
        <v>153.69999999999999</v>
      </c>
      <c r="K295">
        <v>149.5</v>
      </c>
      <c r="L295">
        <v>159.80000000000001</v>
      </c>
      <c r="M295">
        <v>112.6</v>
      </c>
      <c r="N295">
        <v>163.5</v>
      </c>
      <c r="O295">
        <v>156.5</v>
      </c>
      <c r="P295">
        <v>168.2</v>
      </c>
      <c r="Q295">
        <v>156.69999999999999</v>
      </c>
      <c r="R295">
        <v>188.1</v>
      </c>
      <c r="S295">
        <v>157.80000000000001</v>
      </c>
      <c r="T295">
        <v>147.9</v>
      </c>
      <c r="U295">
        <v>156.4</v>
      </c>
      <c r="V295">
        <v>159.9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  <c r="AF295">
        <f t="shared" si="8"/>
        <v>156.87692307692308</v>
      </c>
      <c r="AG295">
        <v>188.1</v>
      </c>
      <c r="AH295">
        <f>Table1[[#This Row],[Clothing and footwear]]</f>
        <v>156.4</v>
      </c>
      <c r="AI295">
        <v>159.9</v>
      </c>
      <c r="AJ295">
        <v>155.5</v>
      </c>
      <c r="AK295">
        <f>AVERAGE(Table1[[#This Row],[Household goods and services]],Table1[[#This Row],[Personal care and effects]])</f>
        <v>152.5</v>
      </c>
      <c r="AL295">
        <f>Table1[[#This Row],[Health]]</f>
        <v>161.69999999999999</v>
      </c>
      <c r="AM295">
        <v>146.19999999999999</v>
      </c>
      <c r="AN295">
        <f>AVERAGE(Table1[[#This Row],[Education]],Table1[[#This Row],[Recreation and amusement]])</f>
        <v>156.39999999999998</v>
      </c>
      <c r="AO295">
        <f>Table1[[#This Row],[Miscellaneous]]</f>
        <v>153.80000000000001</v>
      </c>
      <c r="AP295" t="str">
        <f t="shared" si="9"/>
        <v>Post-COVID</v>
      </c>
    </row>
    <row r="296" spans="1:42" x14ac:dyDescent="0.25">
      <c r="A296" t="s">
        <v>30</v>
      </c>
      <c r="B296">
        <v>2021</v>
      </c>
      <c r="C296" t="s">
        <v>37</v>
      </c>
      <c r="D296" s="3">
        <f>DATE(B296,MATCH(C296,{"January","February","March","April","May","June","July","August","September","October","November","December"},0),1)</f>
        <v>44287</v>
      </c>
      <c r="E296">
        <v>142.69999999999999</v>
      </c>
      <c r="F296">
        <v>195.5</v>
      </c>
      <c r="G296">
        <v>163.4</v>
      </c>
      <c r="H296">
        <v>155</v>
      </c>
      <c r="I296">
        <v>175.2</v>
      </c>
      <c r="J296">
        <v>160.6</v>
      </c>
      <c r="K296">
        <v>135.1</v>
      </c>
      <c r="L296">
        <v>161.1</v>
      </c>
      <c r="M296">
        <v>112.2</v>
      </c>
      <c r="N296">
        <v>164.4</v>
      </c>
      <c r="O296">
        <v>161.9</v>
      </c>
      <c r="P296">
        <v>166.8</v>
      </c>
      <c r="Q296">
        <v>155.6</v>
      </c>
      <c r="R296">
        <v>186.8</v>
      </c>
      <c r="S296">
        <v>160.69999999999999</v>
      </c>
      <c r="T296">
        <v>155.1</v>
      </c>
      <c r="U296">
        <v>159.9</v>
      </c>
      <c r="V296">
        <v>161.4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  <c r="AF296">
        <f t="shared" si="8"/>
        <v>157.65384615384616</v>
      </c>
      <c r="AG296">
        <v>186.8</v>
      </c>
      <c r="AH296">
        <f>Table1[[#This Row],[Clothing and footwear]]</f>
        <v>159.9</v>
      </c>
      <c r="AI296">
        <v>161.4</v>
      </c>
      <c r="AJ296">
        <v>156</v>
      </c>
      <c r="AK296">
        <f>AVERAGE(Table1[[#This Row],[Household goods and services]],Table1[[#This Row],[Personal care and effects]])</f>
        <v>155.05000000000001</v>
      </c>
      <c r="AL296">
        <f>Table1[[#This Row],[Health]]</f>
        <v>165.3</v>
      </c>
      <c r="AM296">
        <v>151.69999999999999</v>
      </c>
      <c r="AN296">
        <f>AVERAGE(Table1[[#This Row],[Education]],Table1[[#This Row],[Recreation and amusement]])</f>
        <v>161.35</v>
      </c>
      <c r="AO296">
        <f>Table1[[#This Row],[Miscellaneous]]</f>
        <v>158</v>
      </c>
      <c r="AP296" t="str">
        <f t="shared" si="9"/>
        <v>Post-COVID</v>
      </c>
    </row>
    <row r="297" spans="1:42" x14ac:dyDescent="0.25">
      <c r="A297" t="s">
        <v>33</v>
      </c>
      <c r="B297">
        <v>2021</v>
      </c>
      <c r="C297" t="s">
        <v>37</v>
      </c>
      <c r="D297" s="3">
        <f>DATE(B297,MATCH(C297,{"January","February","March","April","May","June","July","August","September","October","November","December"},0),1)</f>
        <v>44287</v>
      </c>
      <c r="E297">
        <v>147.6</v>
      </c>
      <c r="F297">
        <v>202.5</v>
      </c>
      <c r="G297">
        <v>166.4</v>
      </c>
      <c r="H297">
        <v>156</v>
      </c>
      <c r="I297">
        <v>161.4</v>
      </c>
      <c r="J297">
        <v>168.8</v>
      </c>
      <c r="K297">
        <v>161.6</v>
      </c>
      <c r="L297">
        <v>162.80000000000001</v>
      </c>
      <c r="M297">
        <v>114.8</v>
      </c>
      <c r="N297">
        <v>162.80000000000001</v>
      </c>
      <c r="O297">
        <v>151.5</v>
      </c>
      <c r="P297">
        <v>171.4</v>
      </c>
      <c r="Q297">
        <v>162</v>
      </c>
      <c r="R297">
        <v>194.4</v>
      </c>
      <c r="S297">
        <v>155.9</v>
      </c>
      <c r="T297">
        <v>139.30000000000001</v>
      </c>
      <c r="U297">
        <v>153.4</v>
      </c>
      <c r="V297">
        <v>161.4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  <c r="AF297">
        <f t="shared" si="8"/>
        <v>160.73846153846154</v>
      </c>
      <c r="AG297">
        <v>194.4</v>
      </c>
      <c r="AH297">
        <f>Table1[[#This Row],[Clothing and footwear]]</f>
        <v>153.4</v>
      </c>
      <c r="AI297">
        <v>161.4</v>
      </c>
      <c r="AJ297">
        <v>154.9</v>
      </c>
      <c r="AK297">
        <f>AVERAGE(Table1[[#This Row],[Household goods and services]],Table1[[#This Row],[Personal care and effects]])</f>
        <v>152.1</v>
      </c>
      <c r="AL297">
        <f>Table1[[#This Row],[Health]]</f>
        <v>157.5</v>
      </c>
      <c r="AM297">
        <v>142.1</v>
      </c>
      <c r="AN297">
        <f>AVERAGE(Table1[[#This Row],[Education]],Table1[[#This Row],[Recreation and amusement]])</f>
        <v>153.35</v>
      </c>
      <c r="AO297">
        <f>Table1[[#This Row],[Miscellaneous]]</f>
        <v>150.5</v>
      </c>
      <c r="AP297" t="str">
        <f t="shared" si="9"/>
        <v>Post-COVID</v>
      </c>
    </row>
    <row r="298" spans="1:42" x14ac:dyDescent="0.25">
      <c r="A298" t="s">
        <v>34</v>
      </c>
      <c r="B298">
        <v>2021</v>
      </c>
      <c r="C298" t="s">
        <v>37</v>
      </c>
      <c r="D298" s="3">
        <f>DATE(B298,MATCH(C298,{"January","February","March","April","May","June","July","August","September","October","November","December"},0),1)</f>
        <v>44287</v>
      </c>
      <c r="E298">
        <v>144.30000000000001</v>
      </c>
      <c r="F298">
        <v>198</v>
      </c>
      <c r="G298">
        <v>164.6</v>
      </c>
      <c r="H298">
        <v>155.4</v>
      </c>
      <c r="I298">
        <v>170.1</v>
      </c>
      <c r="J298">
        <v>164.4</v>
      </c>
      <c r="K298">
        <v>144.1</v>
      </c>
      <c r="L298">
        <v>161.69999999999999</v>
      </c>
      <c r="M298">
        <v>113.1</v>
      </c>
      <c r="N298">
        <v>163.9</v>
      </c>
      <c r="O298">
        <v>157.6</v>
      </c>
      <c r="P298">
        <v>168.9</v>
      </c>
      <c r="Q298">
        <v>158</v>
      </c>
      <c r="R298">
        <v>188.8</v>
      </c>
      <c r="S298">
        <v>158.80000000000001</v>
      </c>
      <c r="T298">
        <v>148.5</v>
      </c>
      <c r="U298">
        <v>157.30000000000001</v>
      </c>
      <c r="V298">
        <v>161.4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  <c r="AF298">
        <f t="shared" si="8"/>
        <v>158.77692307692308</v>
      </c>
      <c r="AG298">
        <v>188.8</v>
      </c>
      <c r="AH298">
        <f>Table1[[#This Row],[Clothing and footwear]]</f>
        <v>157.30000000000001</v>
      </c>
      <c r="AI298">
        <v>161.4</v>
      </c>
      <c r="AJ298">
        <v>155.6</v>
      </c>
      <c r="AK298">
        <f>AVERAGE(Table1[[#This Row],[Household goods and services]],Table1[[#This Row],[Personal care and effects]])</f>
        <v>153.60000000000002</v>
      </c>
      <c r="AL298">
        <f>Table1[[#This Row],[Health]]</f>
        <v>162.30000000000001</v>
      </c>
      <c r="AM298">
        <v>146.6</v>
      </c>
      <c r="AN298">
        <f>AVERAGE(Table1[[#This Row],[Education]],Table1[[#This Row],[Recreation and amusement]])</f>
        <v>156.75</v>
      </c>
      <c r="AO298">
        <f>Table1[[#This Row],[Miscellaneous]]</f>
        <v>154.4</v>
      </c>
      <c r="AP298" t="str">
        <f t="shared" si="9"/>
        <v>Post-COVID</v>
      </c>
    </row>
    <row r="299" spans="1:42" x14ac:dyDescent="0.25">
      <c r="A299" t="s">
        <v>30</v>
      </c>
      <c r="B299">
        <v>2021</v>
      </c>
      <c r="C299" t="s">
        <v>38</v>
      </c>
      <c r="D299" s="3">
        <f>DATE(B299,MATCH(C299,{"January","February","March","April","May","June","July","August","September","October","November","December"},0),1)</f>
        <v>44317</v>
      </c>
      <c r="E299">
        <v>145.1</v>
      </c>
      <c r="F299">
        <v>198.5</v>
      </c>
      <c r="G299">
        <v>168.6</v>
      </c>
      <c r="H299">
        <v>155.80000000000001</v>
      </c>
      <c r="I299">
        <v>184.4</v>
      </c>
      <c r="J299">
        <v>162.30000000000001</v>
      </c>
      <c r="K299">
        <v>138.4</v>
      </c>
      <c r="L299">
        <v>165.1</v>
      </c>
      <c r="M299">
        <v>114.3</v>
      </c>
      <c r="N299">
        <v>169.7</v>
      </c>
      <c r="O299">
        <v>164.6</v>
      </c>
      <c r="P299">
        <v>169.8</v>
      </c>
      <c r="Q299">
        <v>158.69999999999999</v>
      </c>
      <c r="R299">
        <v>189.6</v>
      </c>
      <c r="S299">
        <v>165.3</v>
      </c>
      <c r="T299">
        <v>160.6</v>
      </c>
      <c r="U299">
        <v>164.5</v>
      </c>
      <c r="V299">
        <v>161.6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  <c r="AF299">
        <f t="shared" si="8"/>
        <v>161.17692307692306</v>
      </c>
      <c r="AG299">
        <v>189.6</v>
      </c>
      <c r="AH299">
        <f>Table1[[#This Row],[Clothing and footwear]]</f>
        <v>164.5</v>
      </c>
      <c r="AI299">
        <v>161.6</v>
      </c>
      <c r="AJ299">
        <v>161.69999999999999</v>
      </c>
      <c r="AK299">
        <f>AVERAGE(Table1[[#This Row],[Household goods and services]],Table1[[#This Row],[Personal care and effects]])</f>
        <v>159.05000000000001</v>
      </c>
      <c r="AL299">
        <f>Table1[[#This Row],[Health]]</f>
        <v>169.1</v>
      </c>
      <c r="AM299">
        <v>153.19999999999999</v>
      </c>
      <c r="AN299">
        <f>AVERAGE(Table1[[#This Row],[Education]],Table1[[#This Row],[Recreation and amusement]])</f>
        <v>163.80000000000001</v>
      </c>
      <c r="AO299">
        <f>Table1[[#This Row],[Miscellaneous]]</f>
        <v>161.1</v>
      </c>
      <c r="AP299" t="str">
        <f t="shared" si="9"/>
        <v>Post-COVID</v>
      </c>
    </row>
    <row r="300" spans="1:42" x14ac:dyDescent="0.25">
      <c r="A300" t="s">
        <v>33</v>
      </c>
      <c r="B300">
        <v>2021</v>
      </c>
      <c r="C300" t="s">
        <v>38</v>
      </c>
      <c r="D300" s="3">
        <f>DATE(B300,MATCH(C300,{"January","February","March","April","May","June","July","August","September","October","November","December"},0),1)</f>
        <v>44317</v>
      </c>
      <c r="E300">
        <v>148.80000000000001</v>
      </c>
      <c r="F300">
        <v>204.3</v>
      </c>
      <c r="G300">
        <v>173</v>
      </c>
      <c r="H300">
        <v>156.5</v>
      </c>
      <c r="I300">
        <v>168.8</v>
      </c>
      <c r="J300">
        <v>172.5</v>
      </c>
      <c r="K300">
        <v>166.5</v>
      </c>
      <c r="L300">
        <v>165.9</v>
      </c>
      <c r="M300">
        <v>115.9</v>
      </c>
      <c r="N300">
        <v>165.2</v>
      </c>
      <c r="O300">
        <v>152</v>
      </c>
      <c r="P300">
        <v>171.1</v>
      </c>
      <c r="Q300">
        <v>164.2</v>
      </c>
      <c r="R300">
        <v>198.2</v>
      </c>
      <c r="S300">
        <v>156.5</v>
      </c>
      <c r="T300">
        <v>140.19999999999999</v>
      </c>
      <c r="U300">
        <v>154.1</v>
      </c>
      <c r="V300">
        <v>161.6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  <c r="AF300">
        <f t="shared" si="8"/>
        <v>163.43846153846155</v>
      </c>
      <c r="AG300">
        <v>198.2</v>
      </c>
      <c r="AH300">
        <f>Table1[[#This Row],[Clothing and footwear]]</f>
        <v>154.1</v>
      </c>
      <c r="AI300">
        <v>161.6</v>
      </c>
      <c r="AJ300">
        <v>155.5</v>
      </c>
      <c r="AK300">
        <f>AVERAGE(Table1[[#This Row],[Household goods and services]],Table1[[#This Row],[Personal care and effects]])</f>
        <v>153.80000000000001</v>
      </c>
      <c r="AL300">
        <f>Table1[[#This Row],[Health]]</f>
        <v>160.4</v>
      </c>
      <c r="AM300">
        <v>145</v>
      </c>
      <c r="AN300">
        <f>AVERAGE(Table1[[#This Row],[Education]],Table1[[#This Row],[Recreation and amusement]])</f>
        <v>154.6</v>
      </c>
      <c r="AO300">
        <f>Table1[[#This Row],[Miscellaneous]]</f>
        <v>152.30000000000001</v>
      </c>
      <c r="AP300" t="str">
        <f t="shared" si="9"/>
        <v>Post-COVID</v>
      </c>
    </row>
    <row r="301" spans="1:42" x14ac:dyDescent="0.25">
      <c r="A301" t="s">
        <v>34</v>
      </c>
      <c r="B301">
        <v>2021</v>
      </c>
      <c r="C301" t="s">
        <v>38</v>
      </c>
      <c r="D301" s="3">
        <f>DATE(B301,MATCH(C301,{"January","February","March","April","May","June","July","August","September","October","November","December"},0),1)</f>
        <v>44317</v>
      </c>
      <c r="E301">
        <v>146.30000000000001</v>
      </c>
      <c r="F301">
        <v>200.5</v>
      </c>
      <c r="G301">
        <v>170.3</v>
      </c>
      <c r="H301">
        <v>156.1</v>
      </c>
      <c r="I301">
        <v>178.7</v>
      </c>
      <c r="J301">
        <v>167.1</v>
      </c>
      <c r="K301">
        <v>147.9</v>
      </c>
      <c r="L301">
        <v>165.4</v>
      </c>
      <c r="M301">
        <v>114.8</v>
      </c>
      <c r="N301">
        <v>168.2</v>
      </c>
      <c r="O301">
        <v>159.30000000000001</v>
      </c>
      <c r="P301">
        <v>170.4</v>
      </c>
      <c r="Q301">
        <v>160.69999999999999</v>
      </c>
      <c r="R301">
        <v>191.9</v>
      </c>
      <c r="S301">
        <v>161.80000000000001</v>
      </c>
      <c r="T301">
        <v>152.1</v>
      </c>
      <c r="U301">
        <v>160.4</v>
      </c>
      <c r="V301">
        <v>161.6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  <c r="AF301">
        <f t="shared" si="8"/>
        <v>161.9769230769231</v>
      </c>
      <c r="AG301">
        <v>191.9</v>
      </c>
      <c r="AH301">
        <f>Table1[[#This Row],[Clothing and footwear]]</f>
        <v>160.4</v>
      </c>
      <c r="AI301">
        <v>161.6</v>
      </c>
      <c r="AJ301">
        <v>159.4</v>
      </c>
      <c r="AK301">
        <f>AVERAGE(Table1[[#This Row],[Household goods and services]],Table1[[#This Row],[Personal care and effects]])</f>
        <v>156.64999999999998</v>
      </c>
      <c r="AL301">
        <f>Table1[[#This Row],[Health]]</f>
        <v>165.8</v>
      </c>
      <c r="AM301">
        <v>148.9</v>
      </c>
      <c r="AN301">
        <f>AVERAGE(Table1[[#This Row],[Education]],Table1[[#This Row],[Recreation and amusement]])</f>
        <v>158.5</v>
      </c>
      <c r="AO301">
        <f>Table1[[#This Row],[Miscellaneous]]</f>
        <v>156.80000000000001</v>
      </c>
      <c r="AP301" t="str">
        <f t="shared" si="9"/>
        <v>Post-COVID</v>
      </c>
    </row>
    <row r="302" spans="1:42" x14ac:dyDescent="0.25">
      <c r="A302" t="s">
        <v>30</v>
      </c>
      <c r="B302">
        <v>2021</v>
      </c>
      <c r="C302" t="s">
        <v>39</v>
      </c>
      <c r="D302" s="3">
        <f>DATE(B302,MATCH(C302,{"January","February","March","April","May","June","July","August","September","October","November","December"},0),1)</f>
        <v>44348</v>
      </c>
      <c r="E302">
        <v>145.6</v>
      </c>
      <c r="F302">
        <v>200.1</v>
      </c>
      <c r="G302">
        <v>179.3</v>
      </c>
      <c r="H302">
        <v>156.1</v>
      </c>
      <c r="I302">
        <v>190.4</v>
      </c>
      <c r="J302">
        <v>158.6</v>
      </c>
      <c r="K302">
        <v>144.69999999999999</v>
      </c>
      <c r="L302">
        <v>165.5</v>
      </c>
      <c r="M302">
        <v>114.6</v>
      </c>
      <c r="N302">
        <v>170</v>
      </c>
      <c r="O302">
        <v>165.5</v>
      </c>
      <c r="P302">
        <v>171.7</v>
      </c>
      <c r="Q302">
        <v>160.5</v>
      </c>
      <c r="R302">
        <v>189.1</v>
      </c>
      <c r="S302">
        <v>165.3</v>
      </c>
      <c r="T302">
        <v>159.9</v>
      </c>
      <c r="U302">
        <v>164.6</v>
      </c>
      <c r="V302">
        <v>160.5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  <c r="AF302">
        <f t="shared" si="8"/>
        <v>163.27692307692308</v>
      </c>
      <c r="AG302">
        <v>189.1</v>
      </c>
      <c r="AH302">
        <f>Table1[[#This Row],[Clothing and footwear]]</f>
        <v>164.6</v>
      </c>
      <c r="AI302">
        <v>160.5</v>
      </c>
      <c r="AJ302">
        <v>162.1</v>
      </c>
      <c r="AK302">
        <f>AVERAGE(Table1[[#This Row],[Household goods and services]],Table1[[#This Row],[Personal care and effects]])</f>
        <v>159.30000000000001</v>
      </c>
      <c r="AL302">
        <f>Table1[[#This Row],[Health]]</f>
        <v>169.7</v>
      </c>
      <c r="AM302">
        <v>154.19999999999999</v>
      </c>
      <c r="AN302">
        <f>AVERAGE(Table1[[#This Row],[Education]],Table1[[#This Row],[Recreation and amusement]])</f>
        <v>163.60000000000002</v>
      </c>
      <c r="AO302">
        <f>Table1[[#This Row],[Miscellaneous]]</f>
        <v>161.5</v>
      </c>
      <c r="AP302" t="str">
        <f t="shared" si="9"/>
        <v>Post-COVID</v>
      </c>
    </row>
    <row r="303" spans="1:42" x14ac:dyDescent="0.25">
      <c r="A303" t="s">
        <v>33</v>
      </c>
      <c r="B303">
        <v>2021</v>
      </c>
      <c r="C303" t="s">
        <v>39</v>
      </c>
      <c r="D303" s="3">
        <f>DATE(B303,MATCH(C303,{"January","February","March","April","May","June","July","August","September","October","November","December"},0),1)</f>
        <v>44348</v>
      </c>
      <c r="E303">
        <v>149.19999999999999</v>
      </c>
      <c r="F303">
        <v>205.5</v>
      </c>
      <c r="G303">
        <v>182.8</v>
      </c>
      <c r="H303">
        <v>156.5</v>
      </c>
      <c r="I303">
        <v>172.2</v>
      </c>
      <c r="J303">
        <v>171.5</v>
      </c>
      <c r="K303">
        <v>176.2</v>
      </c>
      <c r="L303">
        <v>166.9</v>
      </c>
      <c r="M303">
        <v>116.1</v>
      </c>
      <c r="N303">
        <v>165.5</v>
      </c>
      <c r="O303">
        <v>152.30000000000001</v>
      </c>
      <c r="P303">
        <v>173.3</v>
      </c>
      <c r="Q303">
        <v>166.2</v>
      </c>
      <c r="R303">
        <v>195.6</v>
      </c>
      <c r="S303">
        <v>157.30000000000001</v>
      </c>
      <c r="T303">
        <v>140.5</v>
      </c>
      <c r="U303">
        <v>154.80000000000001</v>
      </c>
      <c r="V303">
        <v>160.5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  <c r="AF303">
        <f t="shared" si="8"/>
        <v>165.7076923076923</v>
      </c>
      <c r="AG303">
        <v>195.6</v>
      </c>
      <c r="AH303">
        <f>Table1[[#This Row],[Clothing and footwear]]</f>
        <v>154.80000000000001</v>
      </c>
      <c r="AI303">
        <v>160.5</v>
      </c>
      <c r="AJ303">
        <v>156.1</v>
      </c>
      <c r="AK303">
        <f>AVERAGE(Table1[[#This Row],[Household goods and services]],Table1[[#This Row],[Personal care and effects]])</f>
        <v>153.9</v>
      </c>
      <c r="AL303">
        <f>Table1[[#This Row],[Health]]</f>
        <v>160.80000000000001</v>
      </c>
      <c r="AM303">
        <v>147.5</v>
      </c>
      <c r="AN303">
        <f>AVERAGE(Table1[[#This Row],[Education]],Table1[[#This Row],[Recreation and amusement]])</f>
        <v>154.39999999999998</v>
      </c>
      <c r="AO303">
        <f>Table1[[#This Row],[Miscellaneous]]</f>
        <v>153.4</v>
      </c>
      <c r="AP303" t="str">
        <f t="shared" si="9"/>
        <v>Post-COVID</v>
      </c>
    </row>
    <row r="304" spans="1:42" x14ac:dyDescent="0.25">
      <c r="A304" t="s">
        <v>34</v>
      </c>
      <c r="B304">
        <v>2021</v>
      </c>
      <c r="C304" t="s">
        <v>39</v>
      </c>
      <c r="D304" s="3">
        <f>DATE(B304,MATCH(C304,{"January","February","March","April","May","June","July","August","September","October","November","December"},0),1)</f>
        <v>44348</v>
      </c>
      <c r="E304">
        <v>146.69999999999999</v>
      </c>
      <c r="F304">
        <v>202</v>
      </c>
      <c r="G304">
        <v>180.7</v>
      </c>
      <c r="H304">
        <v>156.19999999999999</v>
      </c>
      <c r="I304">
        <v>183.7</v>
      </c>
      <c r="J304">
        <v>164.6</v>
      </c>
      <c r="K304">
        <v>155.4</v>
      </c>
      <c r="L304">
        <v>166</v>
      </c>
      <c r="M304">
        <v>115.1</v>
      </c>
      <c r="N304">
        <v>168.5</v>
      </c>
      <c r="O304">
        <v>160</v>
      </c>
      <c r="P304">
        <v>172.4</v>
      </c>
      <c r="Q304">
        <v>162.6</v>
      </c>
      <c r="R304">
        <v>190.8</v>
      </c>
      <c r="S304">
        <v>162.19999999999999</v>
      </c>
      <c r="T304">
        <v>151.80000000000001</v>
      </c>
      <c r="U304">
        <v>160.69999999999999</v>
      </c>
      <c r="V304">
        <v>160.5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  <c r="AF304">
        <f t="shared" si="8"/>
        <v>164.14615384615385</v>
      </c>
      <c r="AG304">
        <v>190.8</v>
      </c>
      <c r="AH304">
        <f>Table1[[#This Row],[Clothing and footwear]]</f>
        <v>160.69999999999999</v>
      </c>
      <c r="AI304">
        <v>160.5</v>
      </c>
      <c r="AJ304">
        <v>159.80000000000001</v>
      </c>
      <c r="AK304">
        <f>AVERAGE(Table1[[#This Row],[Household goods and services]],Table1[[#This Row],[Personal care and effects]])</f>
        <v>156.80000000000001</v>
      </c>
      <c r="AL304">
        <f>Table1[[#This Row],[Health]]</f>
        <v>166.3</v>
      </c>
      <c r="AM304">
        <v>150.69999999999999</v>
      </c>
      <c r="AN304">
        <f>AVERAGE(Table1[[#This Row],[Education]],Table1[[#This Row],[Recreation and amusement]])</f>
        <v>158.30000000000001</v>
      </c>
      <c r="AO304">
        <f>Table1[[#This Row],[Miscellaneous]]</f>
        <v>157.6</v>
      </c>
      <c r="AP304" t="str">
        <f t="shared" si="9"/>
        <v>Post-COVID</v>
      </c>
    </row>
    <row r="305" spans="1:42" x14ac:dyDescent="0.25">
      <c r="A305" t="s">
        <v>30</v>
      </c>
      <c r="B305">
        <v>2021</v>
      </c>
      <c r="C305" t="s">
        <v>40</v>
      </c>
      <c r="D305" s="3">
        <f>DATE(B305,MATCH(C305,{"January","February","March","April","May","June","July","August","September","October","November","December"},0),1)</f>
        <v>44378</v>
      </c>
      <c r="E305">
        <v>145.1</v>
      </c>
      <c r="F305">
        <v>204.5</v>
      </c>
      <c r="G305">
        <v>180.4</v>
      </c>
      <c r="H305">
        <v>157.1</v>
      </c>
      <c r="I305">
        <v>188.7</v>
      </c>
      <c r="J305">
        <v>157.69999999999999</v>
      </c>
      <c r="K305">
        <v>152.80000000000001</v>
      </c>
      <c r="L305">
        <v>163.6</v>
      </c>
      <c r="M305">
        <v>113.9</v>
      </c>
      <c r="N305">
        <v>169.7</v>
      </c>
      <c r="O305">
        <v>166.2</v>
      </c>
      <c r="P305">
        <v>171</v>
      </c>
      <c r="Q305">
        <v>161.69999999999999</v>
      </c>
      <c r="R305">
        <v>189.7</v>
      </c>
      <c r="S305">
        <v>166</v>
      </c>
      <c r="T305">
        <v>161.1</v>
      </c>
      <c r="U305">
        <v>165.3</v>
      </c>
      <c r="V305">
        <v>161.5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  <c r="AF305">
        <f t="shared" si="8"/>
        <v>164.03076923076924</v>
      </c>
      <c r="AG305">
        <v>189.7</v>
      </c>
      <c r="AH305">
        <f>Table1[[#This Row],[Clothing and footwear]]</f>
        <v>165.3</v>
      </c>
      <c r="AI305">
        <v>161.5</v>
      </c>
      <c r="AJ305">
        <v>162.5</v>
      </c>
      <c r="AK305">
        <f>AVERAGE(Table1[[#This Row],[Household goods and services]],Table1[[#This Row],[Personal care and effects]])</f>
        <v>160.35000000000002</v>
      </c>
      <c r="AL305">
        <f>Table1[[#This Row],[Health]]</f>
        <v>170.4</v>
      </c>
      <c r="AM305">
        <v>157.1</v>
      </c>
      <c r="AN305">
        <f>AVERAGE(Table1[[#This Row],[Education]],Table1[[#This Row],[Recreation and amusement]])</f>
        <v>163.95</v>
      </c>
      <c r="AO305">
        <f>Table1[[#This Row],[Miscellaneous]]</f>
        <v>162.80000000000001</v>
      </c>
      <c r="AP305" t="str">
        <f t="shared" si="9"/>
        <v>Post-COVID</v>
      </c>
    </row>
    <row r="306" spans="1:42" x14ac:dyDescent="0.25">
      <c r="A306" t="s">
        <v>33</v>
      </c>
      <c r="B306">
        <v>2021</v>
      </c>
      <c r="C306" t="s">
        <v>40</v>
      </c>
      <c r="D306" s="3">
        <f>DATE(B306,MATCH(C306,{"January","February","March","April","May","June","July","August","September","October","November","December"},0),1)</f>
        <v>44378</v>
      </c>
      <c r="E306">
        <v>149.1</v>
      </c>
      <c r="F306">
        <v>210.9</v>
      </c>
      <c r="G306">
        <v>185</v>
      </c>
      <c r="H306">
        <v>158.19999999999999</v>
      </c>
      <c r="I306">
        <v>170.6</v>
      </c>
      <c r="J306">
        <v>170.9</v>
      </c>
      <c r="K306">
        <v>186.4</v>
      </c>
      <c r="L306">
        <v>164.7</v>
      </c>
      <c r="M306">
        <v>115.7</v>
      </c>
      <c r="N306">
        <v>165.5</v>
      </c>
      <c r="O306">
        <v>153.4</v>
      </c>
      <c r="P306">
        <v>173.5</v>
      </c>
      <c r="Q306">
        <v>167.9</v>
      </c>
      <c r="R306">
        <v>195.5</v>
      </c>
      <c r="S306">
        <v>157.9</v>
      </c>
      <c r="T306">
        <v>141.9</v>
      </c>
      <c r="U306">
        <v>155.5</v>
      </c>
      <c r="V306">
        <v>161.5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  <c r="AF306">
        <f t="shared" si="8"/>
        <v>167.06153846153848</v>
      </c>
      <c r="AG306">
        <v>195.5</v>
      </c>
      <c r="AH306">
        <f>Table1[[#This Row],[Clothing and footwear]]</f>
        <v>155.5</v>
      </c>
      <c r="AI306">
        <v>161.5</v>
      </c>
      <c r="AJ306">
        <v>157.69999999999999</v>
      </c>
      <c r="AK306">
        <f>AVERAGE(Table1[[#This Row],[Household goods and services]],Table1[[#This Row],[Personal care and effects]])</f>
        <v>155.14999999999998</v>
      </c>
      <c r="AL306">
        <f>Table1[[#This Row],[Health]]</f>
        <v>161.5</v>
      </c>
      <c r="AM306">
        <v>149.5</v>
      </c>
      <c r="AN306">
        <f>AVERAGE(Table1[[#This Row],[Education]],Table1[[#This Row],[Recreation and amusement]])</f>
        <v>155.75</v>
      </c>
      <c r="AO306">
        <f>Table1[[#This Row],[Miscellaneous]]</f>
        <v>155</v>
      </c>
      <c r="AP306" t="str">
        <f t="shared" si="9"/>
        <v>Post-COVID</v>
      </c>
    </row>
    <row r="307" spans="1:42" x14ac:dyDescent="0.25">
      <c r="A307" t="s">
        <v>34</v>
      </c>
      <c r="B307">
        <v>2021</v>
      </c>
      <c r="C307" t="s">
        <v>40</v>
      </c>
      <c r="D307" s="3">
        <f>DATE(B307,MATCH(C307,{"January","February","March","April","May","June","July","August","September","October","November","December"},0),1)</f>
        <v>44378</v>
      </c>
      <c r="E307">
        <v>146.4</v>
      </c>
      <c r="F307">
        <v>206.8</v>
      </c>
      <c r="G307">
        <v>182.2</v>
      </c>
      <c r="H307">
        <v>157.5</v>
      </c>
      <c r="I307">
        <v>182.1</v>
      </c>
      <c r="J307">
        <v>163.9</v>
      </c>
      <c r="K307">
        <v>164.2</v>
      </c>
      <c r="L307">
        <v>164</v>
      </c>
      <c r="M307">
        <v>114.5</v>
      </c>
      <c r="N307">
        <v>168.3</v>
      </c>
      <c r="O307">
        <v>160.9</v>
      </c>
      <c r="P307">
        <v>172.2</v>
      </c>
      <c r="Q307">
        <v>164</v>
      </c>
      <c r="R307">
        <v>191.2</v>
      </c>
      <c r="S307">
        <v>162.80000000000001</v>
      </c>
      <c r="T307">
        <v>153.1</v>
      </c>
      <c r="U307">
        <v>161.4</v>
      </c>
      <c r="V307">
        <v>161.5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  <c r="AF307">
        <f t="shared" si="8"/>
        <v>165.15384615384616</v>
      </c>
      <c r="AG307">
        <v>191.2</v>
      </c>
      <c r="AH307">
        <f>Table1[[#This Row],[Clothing and footwear]]</f>
        <v>161.4</v>
      </c>
      <c r="AI307">
        <v>161.5</v>
      </c>
      <c r="AJ307">
        <v>160.69999999999999</v>
      </c>
      <c r="AK307">
        <f>AVERAGE(Table1[[#This Row],[Household goods and services]],Table1[[#This Row],[Personal care and effects]])</f>
        <v>157.94999999999999</v>
      </c>
      <c r="AL307">
        <f>Table1[[#This Row],[Health]]</f>
        <v>167</v>
      </c>
      <c r="AM307">
        <v>153.1</v>
      </c>
      <c r="AN307">
        <f>AVERAGE(Table1[[#This Row],[Education]],Table1[[#This Row],[Recreation and amusement]])</f>
        <v>159.25</v>
      </c>
      <c r="AO307">
        <f>Table1[[#This Row],[Miscellaneous]]</f>
        <v>159</v>
      </c>
      <c r="AP307" t="str">
        <f t="shared" si="9"/>
        <v>Post-COVID</v>
      </c>
    </row>
    <row r="308" spans="1:42" x14ac:dyDescent="0.25">
      <c r="A308" t="s">
        <v>30</v>
      </c>
      <c r="B308">
        <v>2021</v>
      </c>
      <c r="C308" t="s">
        <v>41</v>
      </c>
      <c r="D308" s="3">
        <f>DATE(B308,MATCH(C308,{"January","February","March","April","May","June","July","August","September","October","November","December"},0),1)</f>
        <v>44409</v>
      </c>
      <c r="E308">
        <v>144.9</v>
      </c>
      <c r="F308">
        <v>202.3</v>
      </c>
      <c r="G308">
        <v>176.5</v>
      </c>
      <c r="H308">
        <v>157.5</v>
      </c>
      <c r="I308">
        <v>190.9</v>
      </c>
      <c r="J308">
        <v>155.69999999999999</v>
      </c>
      <c r="K308">
        <v>153.9</v>
      </c>
      <c r="L308">
        <v>162.80000000000001</v>
      </c>
      <c r="M308">
        <v>115.2</v>
      </c>
      <c r="N308">
        <v>169.8</v>
      </c>
      <c r="O308">
        <v>167.6</v>
      </c>
      <c r="P308">
        <v>171.9</v>
      </c>
      <c r="Q308">
        <v>161.80000000000001</v>
      </c>
      <c r="R308">
        <v>190.2</v>
      </c>
      <c r="S308">
        <v>167</v>
      </c>
      <c r="T308">
        <v>162.6</v>
      </c>
      <c r="U308">
        <v>166.3</v>
      </c>
      <c r="V308">
        <v>162.1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  <c r="AF308">
        <f t="shared" si="8"/>
        <v>163.90769230769232</v>
      </c>
      <c r="AG308">
        <v>190.2</v>
      </c>
      <c r="AH308">
        <f>Table1[[#This Row],[Clothing and footwear]]</f>
        <v>166.3</v>
      </c>
      <c r="AI308">
        <v>162.1</v>
      </c>
      <c r="AJ308">
        <v>163.1</v>
      </c>
      <c r="AK308">
        <f>AVERAGE(Table1[[#This Row],[Household goods and services]],Table1[[#This Row],[Personal care and effects]])</f>
        <v>160.60000000000002</v>
      </c>
      <c r="AL308">
        <f>Table1[[#This Row],[Health]]</f>
        <v>171.1</v>
      </c>
      <c r="AM308">
        <v>157.69999999999999</v>
      </c>
      <c r="AN308">
        <f>AVERAGE(Table1[[#This Row],[Education]],Table1[[#This Row],[Recreation and amusement]])</f>
        <v>164.3</v>
      </c>
      <c r="AO308">
        <f>Table1[[#This Row],[Miscellaneous]]</f>
        <v>163.30000000000001</v>
      </c>
      <c r="AP308" t="str">
        <f t="shared" si="9"/>
        <v>Post-COVID</v>
      </c>
    </row>
    <row r="309" spans="1:42" x14ac:dyDescent="0.25">
      <c r="A309" t="s">
        <v>33</v>
      </c>
      <c r="B309">
        <v>2021</v>
      </c>
      <c r="C309" t="s">
        <v>41</v>
      </c>
      <c r="D309" s="3">
        <f>DATE(B309,MATCH(C309,{"January","February","March","April","May","June","July","August","September","October","November","December"},0),1)</f>
        <v>44409</v>
      </c>
      <c r="E309">
        <v>149.30000000000001</v>
      </c>
      <c r="F309">
        <v>207.4</v>
      </c>
      <c r="G309">
        <v>174.1</v>
      </c>
      <c r="H309">
        <v>159.19999999999999</v>
      </c>
      <c r="I309">
        <v>175</v>
      </c>
      <c r="J309">
        <v>161.30000000000001</v>
      </c>
      <c r="K309">
        <v>183.3</v>
      </c>
      <c r="L309">
        <v>164.5</v>
      </c>
      <c r="M309">
        <v>120.4</v>
      </c>
      <c r="N309">
        <v>166.2</v>
      </c>
      <c r="O309">
        <v>154.80000000000001</v>
      </c>
      <c r="P309">
        <v>175.1</v>
      </c>
      <c r="Q309">
        <v>167.3</v>
      </c>
      <c r="R309">
        <v>196.5</v>
      </c>
      <c r="S309">
        <v>159.80000000000001</v>
      </c>
      <c r="T309">
        <v>143.6</v>
      </c>
      <c r="U309">
        <v>157.30000000000001</v>
      </c>
      <c r="V309">
        <v>162.1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  <c r="AF309">
        <f t="shared" si="8"/>
        <v>165.99230769230769</v>
      </c>
      <c r="AG309">
        <v>196.5</v>
      </c>
      <c r="AH309">
        <f>Table1[[#This Row],[Clothing and footwear]]</f>
        <v>157.30000000000001</v>
      </c>
      <c r="AI309">
        <v>162.1</v>
      </c>
      <c r="AJ309">
        <v>160.69999999999999</v>
      </c>
      <c r="AK309">
        <f>AVERAGE(Table1[[#This Row],[Household goods and services]],Table1[[#This Row],[Personal care and effects]])</f>
        <v>156.39999999999998</v>
      </c>
      <c r="AL309">
        <f>Table1[[#This Row],[Health]]</f>
        <v>162.80000000000001</v>
      </c>
      <c r="AM309">
        <v>150.4</v>
      </c>
      <c r="AN309">
        <f>AVERAGE(Table1[[#This Row],[Education]],Table1[[#This Row],[Recreation and amusement]])</f>
        <v>157.05000000000001</v>
      </c>
      <c r="AO309">
        <f>Table1[[#This Row],[Miscellaneous]]</f>
        <v>156</v>
      </c>
      <c r="AP309" t="str">
        <f t="shared" si="9"/>
        <v>Post-COVID</v>
      </c>
    </row>
    <row r="310" spans="1:42" x14ac:dyDescent="0.25">
      <c r="A310" t="s">
        <v>34</v>
      </c>
      <c r="B310">
        <v>2021</v>
      </c>
      <c r="C310" t="s">
        <v>41</v>
      </c>
      <c r="D310" s="3">
        <f>DATE(B310,MATCH(C310,{"January","February","March","April","May","June","July","August","September","October","November","December"},0),1)</f>
        <v>44409</v>
      </c>
      <c r="E310">
        <v>146.6</v>
      </c>
      <c r="F310">
        <v>204</v>
      </c>
      <c r="G310">
        <v>172.8</v>
      </c>
      <c r="H310">
        <v>158.4</v>
      </c>
      <c r="I310">
        <v>188</v>
      </c>
      <c r="J310">
        <v>156.80000000000001</v>
      </c>
      <c r="K310">
        <v>162.19999999999999</v>
      </c>
      <c r="L310">
        <v>164.1</v>
      </c>
      <c r="M310">
        <v>119.7</v>
      </c>
      <c r="N310">
        <v>168.8</v>
      </c>
      <c r="O310">
        <v>162.69999999999999</v>
      </c>
      <c r="P310">
        <v>173.9</v>
      </c>
      <c r="Q310">
        <v>164</v>
      </c>
      <c r="R310">
        <v>192.1</v>
      </c>
      <c r="S310">
        <v>164.5</v>
      </c>
      <c r="T310">
        <v>155.30000000000001</v>
      </c>
      <c r="U310">
        <v>163.19999999999999</v>
      </c>
      <c r="V310">
        <v>162.1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  <c r="AF310">
        <f t="shared" si="8"/>
        <v>164.76923076923077</v>
      </c>
      <c r="AG310">
        <v>192.1</v>
      </c>
      <c r="AH310">
        <f>Table1[[#This Row],[Clothing and footwear]]</f>
        <v>163.19999999999999</v>
      </c>
      <c r="AI310">
        <v>162.1</v>
      </c>
      <c r="AJ310">
        <v>162.6</v>
      </c>
      <c r="AK310">
        <f>AVERAGE(Table1[[#This Row],[Household goods and services]],Table1[[#This Row],[Personal care and effects]])</f>
        <v>158.75</v>
      </c>
      <c r="AL310">
        <f>Table1[[#This Row],[Health]]</f>
        <v>168.4</v>
      </c>
      <c r="AM310">
        <v>154</v>
      </c>
      <c r="AN310">
        <f>AVERAGE(Table1[[#This Row],[Education]],Table1[[#This Row],[Recreation and amusement]])</f>
        <v>160.69999999999999</v>
      </c>
      <c r="AO310">
        <f>Table1[[#This Row],[Miscellaneous]]</f>
        <v>160</v>
      </c>
      <c r="AP310" t="str">
        <f t="shared" si="9"/>
        <v>Post-COVID</v>
      </c>
    </row>
    <row r="311" spans="1:42" x14ac:dyDescent="0.25">
      <c r="A311" t="s">
        <v>30</v>
      </c>
      <c r="B311">
        <v>2021</v>
      </c>
      <c r="C311" t="s">
        <v>42</v>
      </c>
      <c r="D311" s="3">
        <f>DATE(B311,MATCH(C311,{"January","February","March","April","May","June","July","August","September","October","November","December"},0),1)</f>
        <v>44440</v>
      </c>
      <c r="E311">
        <v>145.4</v>
      </c>
      <c r="F311">
        <v>202.1</v>
      </c>
      <c r="G311">
        <v>172</v>
      </c>
      <c r="H311">
        <v>158</v>
      </c>
      <c r="I311">
        <v>195.5</v>
      </c>
      <c r="J311">
        <v>152.69999999999999</v>
      </c>
      <c r="K311">
        <v>151.4</v>
      </c>
      <c r="L311">
        <v>163.9</v>
      </c>
      <c r="M311">
        <v>119.3</v>
      </c>
      <c r="N311">
        <v>170.1</v>
      </c>
      <c r="O311">
        <v>168.3</v>
      </c>
      <c r="P311">
        <v>172.8</v>
      </c>
      <c r="Q311">
        <v>162.1</v>
      </c>
      <c r="R311">
        <v>190.5</v>
      </c>
      <c r="S311">
        <v>167.7</v>
      </c>
      <c r="T311">
        <v>163.6</v>
      </c>
      <c r="U311">
        <v>167.1</v>
      </c>
      <c r="V311">
        <v>162.1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  <c r="AF311">
        <f t="shared" si="8"/>
        <v>164.12307692307692</v>
      </c>
      <c r="AG311">
        <v>190.5</v>
      </c>
      <c r="AH311">
        <f>Table1[[#This Row],[Clothing and footwear]]</f>
        <v>167.1</v>
      </c>
      <c r="AI311">
        <v>162.1</v>
      </c>
      <c r="AJ311">
        <v>163.69999999999999</v>
      </c>
      <c r="AK311">
        <f>AVERAGE(Table1[[#This Row],[Household goods and services]],Table1[[#This Row],[Personal care and effects]])</f>
        <v>160.75</v>
      </c>
      <c r="AL311">
        <f>Table1[[#This Row],[Health]]</f>
        <v>171.9</v>
      </c>
      <c r="AM311">
        <v>157.80000000000001</v>
      </c>
      <c r="AN311">
        <f>AVERAGE(Table1[[#This Row],[Education]],Table1[[#This Row],[Recreation and amusement]])</f>
        <v>165.6</v>
      </c>
      <c r="AO311">
        <f>Table1[[#This Row],[Miscellaneous]]</f>
        <v>163.80000000000001</v>
      </c>
      <c r="AP311" t="str">
        <f t="shared" si="9"/>
        <v>Post-COVID</v>
      </c>
    </row>
    <row r="312" spans="1:42" x14ac:dyDescent="0.25">
      <c r="A312" t="s">
        <v>33</v>
      </c>
      <c r="B312">
        <v>2021</v>
      </c>
      <c r="C312" t="s">
        <v>42</v>
      </c>
      <c r="D312" s="3">
        <f>DATE(B312,MATCH(C312,{"January","February","March","April","May","June","July","August","September","October","November","December"},0),1)</f>
        <v>44440</v>
      </c>
      <c r="E312">
        <v>149.30000000000001</v>
      </c>
      <c r="F312">
        <v>207.4</v>
      </c>
      <c r="G312">
        <v>174.1</v>
      </c>
      <c r="H312">
        <v>159.1</v>
      </c>
      <c r="I312">
        <v>175</v>
      </c>
      <c r="J312">
        <v>161.19999999999999</v>
      </c>
      <c r="K312">
        <v>183.5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v>196.5</v>
      </c>
      <c r="S312">
        <v>159.80000000000001</v>
      </c>
      <c r="T312">
        <v>143.6</v>
      </c>
      <c r="U312">
        <v>157.4</v>
      </c>
      <c r="V312">
        <v>162.1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  <c r="AF312">
        <f t="shared" si="8"/>
        <v>165.99230769230769</v>
      </c>
      <c r="AG312">
        <v>196.5</v>
      </c>
      <c r="AH312">
        <f>Table1[[#This Row],[Clothing and footwear]]</f>
        <v>157.4</v>
      </c>
      <c r="AI312">
        <v>162.1</v>
      </c>
      <c r="AJ312">
        <v>160.80000000000001</v>
      </c>
      <c r="AK312">
        <f>AVERAGE(Table1[[#This Row],[Household goods and services]],Table1[[#This Row],[Personal care and effects]])</f>
        <v>156.44999999999999</v>
      </c>
      <c r="AL312">
        <f>Table1[[#This Row],[Health]]</f>
        <v>162.80000000000001</v>
      </c>
      <c r="AM312">
        <v>150.5</v>
      </c>
      <c r="AN312">
        <f>AVERAGE(Table1[[#This Row],[Education]],Table1[[#This Row],[Recreation and amusement]])</f>
        <v>157.10000000000002</v>
      </c>
      <c r="AO312">
        <f>Table1[[#This Row],[Miscellaneous]]</f>
        <v>156</v>
      </c>
      <c r="AP312" t="str">
        <f t="shared" si="9"/>
        <v>Post-COVID</v>
      </c>
    </row>
    <row r="313" spans="1:42" x14ac:dyDescent="0.25">
      <c r="A313" t="s">
        <v>34</v>
      </c>
      <c r="B313">
        <v>2021</v>
      </c>
      <c r="C313" t="s">
        <v>42</v>
      </c>
      <c r="D313" s="3">
        <f>DATE(B313,MATCH(C313,{"January","February","March","April","May","June","July","August","September","October","November","December"},0),1)</f>
        <v>44440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156.69999999999999</v>
      </c>
      <c r="K313">
        <v>162.30000000000001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v>192.1</v>
      </c>
      <c r="S313">
        <v>164.6</v>
      </c>
      <c r="T313">
        <v>155.30000000000001</v>
      </c>
      <c r="U313">
        <v>163.30000000000001</v>
      </c>
      <c r="V313">
        <v>162.1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  <c r="AF313">
        <f t="shared" si="8"/>
        <v>164.76923076923077</v>
      </c>
      <c r="AG313">
        <v>192.1</v>
      </c>
      <c r="AH313">
        <f>Table1[[#This Row],[Clothing and footwear]]</f>
        <v>163.30000000000001</v>
      </c>
      <c r="AI313">
        <v>162.1</v>
      </c>
      <c r="AJ313">
        <v>162.6</v>
      </c>
      <c r="AK313">
        <f>AVERAGE(Table1[[#This Row],[Household goods and services]],Table1[[#This Row],[Personal care and effects]])</f>
        <v>158.75</v>
      </c>
      <c r="AL313">
        <f>Table1[[#This Row],[Health]]</f>
        <v>168.4</v>
      </c>
      <c r="AM313">
        <v>154</v>
      </c>
      <c r="AN313">
        <f>AVERAGE(Table1[[#This Row],[Education]],Table1[[#This Row],[Recreation and amusement]])</f>
        <v>160.69999999999999</v>
      </c>
      <c r="AO313">
        <f>Table1[[#This Row],[Miscellaneous]]</f>
        <v>160</v>
      </c>
      <c r="AP313" t="str">
        <f t="shared" si="9"/>
        <v>Post-COVID</v>
      </c>
    </row>
    <row r="314" spans="1:42" x14ac:dyDescent="0.25">
      <c r="A314" t="s">
        <v>30</v>
      </c>
      <c r="B314">
        <v>2021</v>
      </c>
      <c r="C314" t="s">
        <v>43</v>
      </c>
      <c r="D314" s="3">
        <f>DATE(B314,MATCH(C314,{"January","February","March","April","May","June","July","August","September","October","November","December"},0),1)</f>
        <v>44470</v>
      </c>
      <c r="E314">
        <v>146.1</v>
      </c>
      <c r="F314">
        <v>202.5</v>
      </c>
      <c r="G314">
        <v>170.1</v>
      </c>
      <c r="H314">
        <v>158.4</v>
      </c>
      <c r="I314">
        <v>198.8</v>
      </c>
      <c r="J314">
        <v>152.6</v>
      </c>
      <c r="K314">
        <v>170.4</v>
      </c>
      <c r="L314">
        <v>165.2</v>
      </c>
      <c r="M314">
        <v>121.6</v>
      </c>
      <c r="N314">
        <v>170.6</v>
      </c>
      <c r="O314">
        <v>168.8</v>
      </c>
      <c r="P314">
        <v>173.6</v>
      </c>
      <c r="Q314">
        <v>165.5</v>
      </c>
      <c r="R314">
        <v>191.2</v>
      </c>
      <c r="S314">
        <v>168.9</v>
      </c>
      <c r="T314">
        <v>164.8</v>
      </c>
      <c r="U314">
        <v>168.3</v>
      </c>
      <c r="V314">
        <v>163.6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  <c r="AF314">
        <f t="shared" si="8"/>
        <v>166.47692307692307</v>
      </c>
      <c r="AG314">
        <v>191.2</v>
      </c>
      <c r="AH314">
        <f>Table1[[#This Row],[Clothing and footwear]]</f>
        <v>168.3</v>
      </c>
      <c r="AI314">
        <v>163.6</v>
      </c>
      <c r="AJ314">
        <v>165.5</v>
      </c>
      <c r="AK314">
        <f>AVERAGE(Table1[[#This Row],[Household goods and services]],Table1[[#This Row],[Personal care and effects]])</f>
        <v>161.55000000000001</v>
      </c>
      <c r="AL314">
        <f>Table1[[#This Row],[Health]]</f>
        <v>172.5</v>
      </c>
      <c r="AM314">
        <v>159.5</v>
      </c>
      <c r="AN314">
        <f>AVERAGE(Table1[[#This Row],[Education]],Table1[[#This Row],[Recreation and amusement]])</f>
        <v>166.1</v>
      </c>
      <c r="AO314">
        <f>Table1[[#This Row],[Miscellaneous]]</f>
        <v>164.7</v>
      </c>
      <c r="AP314" t="str">
        <f t="shared" si="9"/>
        <v>Post-COVID</v>
      </c>
    </row>
    <row r="315" spans="1:42" x14ac:dyDescent="0.25">
      <c r="A315" t="s">
        <v>33</v>
      </c>
      <c r="B315">
        <v>2021</v>
      </c>
      <c r="C315" t="s">
        <v>43</v>
      </c>
      <c r="D315" s="3">
        <f>DATE(B315,MATCH(C315,{"January","February","March","April","May","June","July","August","September","October","November","December"},0),1)</f>
        <v>44470</v>
      </c>
      <c r="E315">
        <v>150.1</v>
      </c>
      <c r="F315">
        <v>208.4</v>
      </c>
      <c r="G315">
        <v>173</v>
      </c>
      <c r="H315">
        <v>159.19999999999999</v>
      </c>
      <c r="I315">
        <v>176.6</v>
      </c>
      <c r="J315">
        <v>159.30000000000001</v>
      </c>
      <c r="K315">
        <v>214.4</v>
      </c>
      <c r="L315">
        <v>165.3</v>
      </c>
      <c r="M315">
        <v>122.5</v>
      </c>
      <c r="N315">
        <v>166.8</v>
      </c>
      <c r="O315">
        <v>155.4</v>
      </c>
      <c r="P315">
        <v>175.9</v>
      </c>
      <c r="Q315">
        <v>171.5</v>
      </c>
      <c r="R315">
        <v>197</v>
      </c>
      <c r="S315">
        <v>160.80000000000001</v>
      </c>
      <c r="T315">
        <v>144.4</v>
      </c>
      <c r="U315">
        <v>158.30000000000001</v>
      </c>
      <c r="V315">
        <v>163.6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  <c r="AF315">
        <f t="shared" si="8"/>
        <v>169.10769230769236</v>
      </c>
      <c r="AG315">
        <v>197</v>
      </c>
      <c r="AH315">
        <f>Table1[[#This Row],[Clothing and footwear]]</f>
        <v>158.30000000000001</v>
      </c>
      <c r="AI315">
        <v>163.6</v>
      </c>
      <c r="AJ315">
        <v>162.19999999999999</v>
      </c>
      <c r="AK315">
        <f>AVERAGE(Table1[[#This Row],[Household goods and services]],Table1[[#This Row],[Personal care and effects]])</f>
        <v>157.30000000000001</v>
      </c>
      <c r="AL315">
        <f>Table1[[#This Row],[Health]]</f>
        <v>163.5</v>
      </c>
      <c r="AM315">
        <v>152.19999999999999</v>
      </c>
      <c r="AN315">
        <f>AVERAGE(Table1[[#This Row],[Education]],Table1[[#This Row],[Recreation and amusement]])</f>
        <v>157.69999999999999</v>
      </c>
      <c r="AO315">
        <f>Table1[[#This Row],[Miscellaneous]]</f>
        <v>157</v>
      </c>
      <c r="AP315" t="str">
        <f t="shared" si="9"/>
        <v>Post-COVID</v>
      </c>
    </row>
    <row r="316" spans="1:42" x14ac:dyDescent="0.25">
      <c r="A316" t="s">
        <v>34</v>
      </c>
      <c r="B316">
        <v>2021</v>
      </c>
      <c r="C316" t="s">
        <v>43</v>
      </c>
      <c r="D316" s="3">
        <f>DATE(B316,MATCH(C316,{"January","February","March","April","May","June","July","August","September","October","November","December"},0),1)</f>
        <v>44470</v>
      </c>
      <c r="E316">
        <v>147.4</v>
      </c>
      <c r="F316">
        <v>204.6</v>
      </c>
      <c r="G316">
        <v>171.2</v>
      </c>
      <c r="H316">
        <v>158.69999999999999</v>
      </c>
      <c r="I316">
        <v>190.6</v>
      </c>
      <c r="J316">
        <v>155.69999999999999</v>
      </c>
      <c r="K316">
        <v>185.3</v>
      </c>
      <c r="L316">
        <v>165.2</v>
      </c>
      <c r="M316">
        <v>121.9</v>
      </c>
      <c r="N316">
        <v>169.3</v>
      </c>
      <c r="O316">
        <v>163.19999999999999</v>
      </c>
      <c r="P316">
        <v>174.7</v>
      </c>
      <c r="Q316">
        <v>167.7</v>
      </c>
      <c r="R316">
        <v>192.7</v>
      </c>
      <c r="S316">
        <v>165.7</v>
      </c>
      <c r="T316">
        <v>156.30000000000001</v>
      </c>
      <c r="U316">
        <v>164.3</v>
      </c>
      <c r="V316">
        <v>163.6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  <c r="AF316">
        <f t="shared" si="8"/>
        <v>167.34615384615384</v>
      </c>
      <c r="AG316">
        <v>192.7</v>
      </c>
      <c r="AH316">
        <f>Table1[[#This Row],[Clothing and footwear]]</f>
        <v>164.3</v>
      </c>
      <c r="AI316">
        <v>163.6</v>
      </c>
      <c r="AJ316">
        <v>164.2</v>
      </c>
      <c r="AK316">
        <f>AVERAGE(Table1[[#This Row],[Household goods and services]],Table1[[#This Row],[Personal care and effects]])</f>
        <v>159.60000000000002</v>
      </c>
      <c r="AL316">
        <f>Table1[[#This Row],[Health]]</f>
        <v>169.1</v>
      </c>
      <c r="AM316">
        <v>155.69999999999999</v>
      </c>
      <c r="AN316">
        <f>AVERAGE(Table1[[#This Row],[Education]],Table1[[#This Row],[Recreation and amusement]])</f>
        <v>161.25</v>
      </c>
      <c r="AO316">
        <f>Table1[[#This Row],[Miscellaneous]]</f>
        <v>161</v>
      </c>
      <c r="AP316" t="str">
        <f t="shared" si="9"/>
        <v>Post-COVID</v>
      </c>
    </row>
    <row r="317" spans="1:42" x14ac:dyDescent="0.25">
      <c r="A317" t="s">
        <v>30</v>
      </c>
      <c r="B317">
        <v>2021</v>
      </c>
      <c r="C317" t="s">
        <v>45</v>
      </c>
      <c r="D317" s="3">
        <f>DATE(B317,MATCH(C317,{"January","February","March","April","May","June","July","August","September","October","November","December"},0),1)</f>
        <v>44501</v>
      </c>
      <c r="E317">
        <v>146.9</v>
      </c>
      <c r="F317">
        <v>199.8</v>
      </c>
      <c r="G317">
        <v>171.5</v>
      </c>
      <c r="H317">
        <v>159.1</v>
      </c>
      <c r="I317">
        <v>198.4</v>
      </c>
      <c r="J317">
        <v>153.19999999999999</v>
      </c>
      <c r="K317">
        <v>183.9</v>
      </c>
      <c r="L317">
        <v>165.4</v>
      </c>
      <c r="M317">
        <v>122.1</v>
      </c>
      <c r="N317">
        <v>170.8</v>
      </c>
      <c r="O317">
        <v>169.1</v>
      </c>
      <c r="P317">
        <v>174.3</v>
      </c>
      <c r="Q317">
        <v>167.5</v>
      </c>
      <c r="R317">
        <v>191.4</v>
      </c>
      <c r="S317">
        <v>170.4</v>
      </c>
      <c r="T317">
        <v>166</v>
      </c>
      <c r="U317">
        <v>169.8</v>
      </c>
      <c r="V317">
        <v>164.2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  <c r="AF317">
        <f t="shared" si="8"/>
        <v>167.84615384615384</v>
      </c>
      <c r="AG317">
        <v>191.4</v>
      </c>
      <c r="AH317">
        <f>Table1[[#This Row],[Clothing and footwear]]</f>
        <v>169.8</v>
      </c>
      <c r="AI317">
        <v>164.2</v>
      </c>
      <c r="AJ317">
        <v>165.3</v>
      </c>
      <c r="AK317">
        <f>AVERAGE(Table1[[#This Row],[Household goods and services]],Table1[[#This Row],[Personal care and effects]])</f>
        <v>162.65</v>
      </c>
      <c r="AL317">
        <f>Table1[[#This Row],[Health]]</f>
        <v>173.4</v>
      </c>
      <c r="AM317">
        <v>158.9</v>
      </c>
      <c r="AN317">
        <f>AVERAGE(Table1[[#This Row],[Education]],Table1[[#This Row],[Recreation and amusement]])</f>
        <v>166.55</v>
      </c>
      <c r="AO317">
        <f>Table1[[#This Row],[Miscellaneous]]</f>
        <v>165.2</v>
      </c>
      <c r="AP317" t="str">
        <f t="shared" si="9"/>
        <v>Post-COVID</v>
      </c>
    </row>
    <row r="318" spans="1:42" x14ac:dyDescent="0.25">
      <c r="A318" t="s">
        <v>33</v>
      </c>
      <c r="B318">
        <v>2021</v>
      </c>
      <c r="C318" t="s">
        <v>45</v>
      </c>
      <c r="D318" s="3">
        <f>DATE(B318,MATCH(C318,{"January","February","March","April","May","June","July","August","September","October","November","December"},0),1)</f>
        <v>44501</v>
      </c>
      <c r="E318">
        <v>151</v>
      </c>
      <c r="F318">
        <v>204.9</v>
      </c>
      <c r="G318">
        <v>175.4</v>
      </c>
      <c r="H318">
        <v>159.6</v>
      </c>
      <c r="I318">
        <v>175.8</v>
      </c>
      <c r="J318">
        <v>160.30000000000001</v>
      </c>
      <c r="K318">
        <v>229.1</v>
      </c>
      <c r="L318">
        <v>165.1</v>
      </c>
      <c r="M318">
        <v>123.1</v>
      </c>
      <c r="N318">
        <v>167.2</v>
      </c>
      <c r="O318">
        <v>156.1</v>
      </c>
      <c r="P318">
        <v>176.8</v>
      </c>
      <c r="Q318">
        <v>173.5</v>
      </c>
      <c r="R318">
        <v>197</v>
      </c>
      <c r="S318">
        <v>162.30000000000001</v>
      </c>
      <c r="T318">
        <v>145.30000000000001</v>
      </c>
      <c r="U318">
        <v>159.69999999999999</v>
      </c>
      <c r="V318">
        <v>164.2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  <c r="AF318">
        <f t="shared" si="8"/>
        <v>170.60769230769228</v>
      </c>
      <c r="AG318">
        <v>197</v>
      </c>
      <c r="AH318">
        <f>Table1[[#This Row],[Clothing and footwear]]</f>
        <v>159.69999999999999</v>
      </c>
      <c r="AI318">
        <v>164.2</v>
      </c>
      <c r="AJ318">
        <v>161.6</v>
      </c>
      <c r="AK318">
        <f>AVERAGE(Table1[[#This Row],[Household goods and services]],Table1[[#This Row],[Personal care and effects]])</f>
        <v>158.5</v>
      </c>
      <c r="AL318">
        <f>Table1[[#This Row],[Health]]</f>
        <v>164.2</v>
      </c>
      <c r="AM318">
        <v>151.19999999999999</v>
      </c>
      <c r="AN318">
        <f>AVERAGE(Table1[[#This Row],[Education]],Table1[[#This Row],[Recreation and amusement]])</f>
        <v>158.75</v>
      </c>
      <c r="AO318">
        <f>Table1[[#This Row],[Miscellaneous]]</f>
        <v>157.30000000000001</v>
      </c>
      <c r="AP318" t="str">
        <f t="shared" si="9"/>
        <v>Post-COVID</v>
      </c>
    </row>
    <row r="319" spans="1:42" x14ac:dyDescent="0.25">
      <c r="A319" t="s">
        <v>34</v>
      </c>
      <c r="B319">
        <v>2021</v>
      </c>
      <c r="C319" t="s">
        <v>45</v>
      </c>
      <c r="D319" s="3">
        <f>DATE(B319,MATCH(C319,{"January","February","March","April","May","June","July","August","September","October","November","December"},0),1)</f>
        <v>44501</v>
      </c>
      <c r="E319">
        <v>148.19999999999999</v>
      </c>
      <c r="F319">
        <v>201.6</v>
      </c>
      <c r="G319">
        <v>173</v>
      </c>
      <c r="H319">
        <v>159.30000000000001</v>
      </c>
      <c r="I319">
        <v>190.1</v>
      </c>
      <c r="J319">
        <v>156.5</v>
      </c>
      <c r="K319">
        <v>199.2</v>
      </c>
      <c r="L319">
        <v>165.3</v>
      </c>
      <c r="M319">
        <v>122.4</v>
      </c>
      <c r="N319">
        <v>169.6</v>
      </c>
      <c r="O319">
        <v>163.69999999999999</v>
      </c>
      <c r="P319">
        <v>175.5</v>
      </c>
      <c r="Q319">
        <v>169.7</v>
      </c>
      <c r="R319">
        <v>192.9</v>
      </c>
      <c r="S319">
        <v>167.2</v>
      </c>
      <c r="T319">
        <v>157.4</v>
      </c>
      <c r="U319">
        <v>165.8</v>
      </c>
      <c r="V319">
        <v>164.2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  <c r="AF319">
        <f t="shared" si="8"/>
        <v>168.77692307692308</v>
      </c>
      <c r="AG319">
        <v>192.9</v>
      </c>
      <c r="AH319">
        <f>Table1[[#This Row],[Clothing and footwear]]</f>
        <v>165.8</v>
      </c>
      <c r="AI319">
        <v>164.2</v>
      </c>
      <c r="AJ319">
        <v>163.9</v>
      </c>
      <c r="AK319">
        <f>AVERAGE(Table1[[#This Row],[Household goods and services]],Table1[[#This Row],[Personal care and effects]])</f>
        <v>160.75</v>
      </c>
      <c r="AL319">
        <f>Table1[[#This Row],[Health]]</f>
        <v>169.9</v>
      </c>
      <c r="AM319">
        <v>154.80000000000001</v>
      </c>
      <c r="AN319">
        <f>AVERAGE(Table1[[#This Row],[Education]],Table1[[#This Row],[Recreation and amusement]])</f>
        <v>162.05000000000001</v>
      </c>
      <c r="AO319">
        <f>Table1[[#This Row],[Miscellaneous]]</f>
        <v>161.4</v>
      </c>
      <c r="AP319" t="str">
        <f t="shared" si="9"/>
        <v>Post-COVID</v>
      </c>
    </row>
    <row r="320" spans="1:42" x14ac:dyDescent="0.25">
      <c r="A320" t="s">
        <v>30</v>
      </c>
      <c r="B320">
        <v>2021</v>
      </c>
      <c r="C320" t="s">
        <v>46</v>
      </c>
      <c r="D320" s="3">
        <f>DATE(B320,MATCH(C320,{"January","February","March","April","May","June","July","August","September","October","November","December"},0),1)</f>
        <v>44531</v>
      </c>
      <c r="E320">
        <v>147.4</v>
      </c>
      <c r="F320">
        <v>197</v>
      </c>
      <c r="G320">
        <v>176.5</v>
      </c>
      <c r="H320">
        <v>159.80000000000001</v>
      </c>
      <c r="I320">
        <v>195.8</v>
      </c>
      <c r="J320">
        <v>152</v>
      </c>
      <c r="K320">
        <v>172.3</v>
      </c>
      <c r="L320">
        <v>164.5</v>
      </c>
      <c r="M320">
        <v>120.6</v>
      </c>
      <c r="N320">
        <v>171.7</v>
      </c>
      <c r="O320">
        <v>169.7</v>
      </c>
      <c r="P320">
        <v>175.1</v>
      </c>
      <c r="Q320">
        <v>165.8</v>
      </c>
      <c r="R320">
        <v>190.8</v>
      </c>
      <c r="S320">
        <v>171.8</v>
      </c>
      <c r="T320">
        <v>167.3</v>
      </c>
      <c r="U320">
        <v>171.2</v>
      </c>
      <c r="V320">
        <v>163.4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  <c r="AF320">
        <f t="shared" si="8"/>
        <v>166.78461538461536</v>
      </c>
      <c r="AG320">
        <v>190.8</v>
      </c>
      <c r="AH320">
        <f>Table1[[#This Row],[Clothing and footwear]]</f>
        <v>171.2</v>
      </c>
      <c r="AI320">
        <v>163.4</v>
      </c>
      <c r="AJ320">
        <v>165.6</v>
      </c>
      <c r="AK320">
        <f>AVERAGE(Table1[[#This Row],[Household goods and services]],Table1[[#This Row],[Personal care and effects]])</f>
        <v>163.35000000000002</v>
      </c>
      <c r="AL320">
        <f>Table1[[#This Row],[Health]]</f>
        <v>174</v>
      </c>
      <c r="AM320">
        <v>160.1</v>
      </c>
      <c r="AN320">
        <f>AVERAGE(Table1[[#This Row],[Education]],Table1[[#This Row],[Recreation and amusement]])</f>
        <v>167.1</v>
      </c>
      <c r="AO320">
        <f>Table1[[#This Row],[Miscellaneous]]</f>
        <v>166</v>
      </c>
      <c r="AP320" t="str">
        <f t="shared" si="9"/>
        <v>Post-COVID</v>
      </c>
    </row>
    <row r="321" spans="1:42" x14ac:dyDescent="0.25">
      <c r="A321" t="s">
        <v>33</v>
      </c>
      <c r="B321">
        <v>2021</v>
      </c>
      <c r="C321" t="s">
        <v>46</v>
      </c>
      <c r="D321" s="3">
        <f>DATE(B321,MATCH(C321,{"January","February","March","April","May","June","July","August","September","October","November","December"},0),1)</f>
        <v>44531</v>
      </c>
      <c r="E321">
        <v>151.6</v>
      </c>
      <c r="F321">
        <v>202.2</v>
      </c>
      <c r="G321">
        <v>180</v>
      </c>
      <c r="H321">
        <v>160</v>
      </c>
      <c r="I321">
        <v>173.5</v>
      </c>
      <c r="J321">
        <v>158.30000000000001</v>
      </c>
      <c r="K321">
        <v>219.5</v>
      </c>
      <c r="L321">
        <v>164.2</v>
      </c>
      <c r="M321">
        <v>121.9</v>
      </c>
      <c r="N321">
        <v>168.2</v>
      </c>
      <c r="O321">
        <v>156.5</v>
      </c>
      <c r="P321">
        <v>178.2</v>
      </c>
      <c r="Q321">
        <v>172.2</v>
      </c>
      <c r="R321">
        <v>196.8</v>
      </c>
      <c r="S321">
        <v>163.30000000000001</v>
      </c>
      <c r="T321">
        <v>146.69999999999999</v>
      </c>
      <c r="U321">
        <v>160.69999999999999</v>
      </c>
      <c r="V321">
        <v>163.4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  <c r="AF321">
        <f t="shared" si="8"/>
        <v>169.71538461538464</v>
      </c>
      <c r="AG321">
        <v>196.8</v>
      </c>
      <c r="AH321">
        <f>Table1[[#This Row],[Clothing and footwear]]</f>
        <v>160.69999999999999</v>
      </c>
      <c r="AI321">
        <v>163.4</v>
      </c>
      <c r="AJ321">
        <v>161.69999999999999</v>
      </c>
      <c r="AK321">
        <f>AVERAGE(Table1[[#This Row],[Household goods and services]],Table1[[#This Row],[Personal care and effects]])</f>
        <v>159.19999999999999</v>
      </c>
      <c r="AL321">
        <f>Table1[[#This Row],[Health]]</f>
        <v>165.1</v>
      </c>
      <c r="AM321">
        <v>151.80000000000001</v>
      </c>
      <c r="AN321">
        <f>AVERAGE(Table1[[#This Row],[Education]],Table1[[#This Row],[Recreation and amusement]])</f>
        <v>159.1</v>
      </c>
      <c r="AO321">
        <f>Table1[[#This Row],[Miscellaneous]]</f>
        <v>157.80000000000001</v>
      </c>
      <c r="AP321" t="str">
        <f t="shared" si="9"/>
        <v>Post-COVID</v>
      </c>
    </row>
    <row r="322" spans="1:42" x14ac:dyDescent="0.25">
      <c r="A322" t="s">
        <v>34</v>
      </c>
      <c r="B322">
        <v>2021</v>
      </c>
      <c r="C322" t="s">
        <v>46</v>
      </c>
      <c r="D322" s="3">
        <f>DATE(B322,MATCH(C322,{"January","February","March","April","May","June","July","August","September","October","November","December"},0),1)</f>
        <v>44531</v>
      </c>
      <c r="E322">
        <v>148.69999999999999</v>
      </c>
      <c r="F322">
        <v>198.8</v>
      </c>
      <c r="G322">
        <v>177.9</v>
      </c>
      <c r="H322">
        <v>159.9</v>
      </c>
      <c r="I322">
        <v>187.6</v>
      </c>
      <c r="J322">
        <v>154.9</v>
      </c>
      <c r="K322">
        <v>188.3</v>
      </c>
      <c r="L322">
        <v>164.4</v>
      </c>
      <c r="M322">
        <v>121</v>
      </c>
      <c r="N322">
        <v>170.5</v>
      </c>
      <c r="O322">
        <v>164.2</v>
      </c>
      <c r="P322">
        <v>176.5</v>
      </c>
      <c r="Q322">
        <v>168.2</v>
      </c>
      <c r="R322">
        <v>192.4</v>
      </c>
      <c r="S322">
        <v>168.5</v>
      </c>
      <c r="T322">
        <v>158.69999999999999</v>
      </c>
      <c r="U322">
        <v>167</v>
      </c>
      <c r="V322">
        <v>163.4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  <c r="AF322">
        <f t="shared" ref="AF322:AF373" si="12">AVERAGE(E322:Q322)</f>
        <v>167.76153846153846</v>
      </c>
      <c r="AG322">
        <v>192.4</v>
      </c>
      <c r="AH322">
        <f>Table1[[#This Row],[Clothing and footwear]]</f>
        <v>167</v>
      </c>
      <c r="AI322">
        <v>163.4</v>
      </c>
      <c r="AJ322">
        <v>164.1</v>
      </c>
      <c r="AK322">
        <f>AVERAGE(Table1[[#This Row],[Household goods and services]],Table1[[#This Row],[Personal care and effects]])</f>
        <v>161.39999999999998</v>
      </c>
      <c r="AL322">
        <f>Table1[[#This Row],[Health]]</f>
        <v>170.6</v>
      </c>
      <c r="AM322">
        <v>155.69999999999999</v>
      </c>
      <c r="AN322">
        <f>AVERAGE(Table1[[#This Row],[Education]],Table1[[#This Row],[Recreation and amusement]])</f>
        <v>162.5</v>
      </c>
      <c r="AO322">
        <f>Table1[[#This Row],[Miscellaneous]]</f>
        <v>162</v>
      </c>
      <c r="AP322" t="str">
        <f t="shared" ref="AP322:AP373" si="13">IF(D322&lt;DATE(2020,3,1),"Pre-COVID",IF(D322=DATE(2020,3,1),"COVID Onset",IF(D322&lt;=DATE(2020,5,31),"Lockdown","Post-COVID")))</f>
        <v>Post-COVID</v>
      </c>
    </row>
    <row r="323" spans="1:42" x14ac:dyDescent="0.25">
      <c r="A323" t="s">
        <v>30</v>
      </c>
      <c r="B323">
        <v>2022</v>
      </c>
      <c r="C323" t="s">
        <v>31</v>
      </c>
      <c r="D323" s="3">
        <f>DATE(B323,MATCH(C323,{"January","February","March","April","May","June","July","August","September","October","November","December"},0),1)</f>
        <v>44562</v>
      </c>
      <c r="E323">
        <v>148.30000000000001</v>
      </c>
      <c r="F323">
        <v>196.9</v>
      </c>
      <c r="G323">
        <v>178</v>
      </c>
      <c r="H323">
        <v>160.5</v>
      </c>
      <c r="I323">
        <v>192.6</v>
      </c>
      <c r="J323">
        <v>151.19999999999999</v>
      </c>
      <c r="K323">
        <v>159.19999999999999</v>
      </c>
      <c r="L323">
        <v>164</v>
      </c>
      <c r="M323">
        <v>119.3</v>
      </c>
      <c r="N323">
        <v>173.3</v>
      </c>
      <c r="O323">
        <v>169.8</v>
      </c>
      <c r="P323">
        <v>175.8</v>
      </c>
      <c r="Q323">
        <v>164.1</v>
      </c>
      <c r="R323">
        <v>190.7</v>
      </c>
      <c r="S323">
        <v>173.2</v>
      </c>
      <c r="T323">
        <v>169.3</v>
      </c>
      <c r="U323">
        <v>172.7</v>
      </c>
      <c r="V323">
        <v>164.5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  <c r="AF323">
        <f t="shared" si="12"/>
        <v>165.61538461538461</v>
      </c>
      <c r="AG323">
        <v>190.7</v>
      </c>
      <c r="AH323">
        <f>Table1[[#This Row],[Clothing and footwear]]</f>
        <v>172.7</v>
      </c>
      <c r="AI323">
        <v>164.5</v>
      </c>
      <c r="AJ323">
        <v>165.8</v>
      </c>
      <c r="AK323">
        <f>AVERAGE(Table1[[#This Row],[Household goods and services]],Table1[[#This Row],[Personal care and effects]])</f>
        <v>164.05</v>
      </c>
      <c r="AL323">
        <f>Table1[[#This Row],[Health]]</f>
        <v>174.7</v>
      </c>
      <c r="AM323">
        <v>160.80000000000001</v>
      </c>
      <c r="AN323">
        <f>AVERAGE(Table1[[#This Row],[Education]],Table1[[#This Row],[Recreation and amusement]])</f>
        <v>167.4</v>
      </c>
      <c r="AO323">
        <f>Table1[[#This Row],[Miscellaneous]]</f>
        <v>166.6</v>
      </c>
      <c r="AP323" t="str">
        <f t="shared" si="13"/>
        <v>Post-COVID</v>
      </c>
    </row>
    <row r="324" spans="1:42" x14ac:dyDescent="0.25">
      <c r="A324" t="s">
        <v>33</v>
      </c>
      <c r="B324">
        <v>2022</v>
      </c>
      <c r="C324" t="s">
        <v>31</v>
      </c>
      <c r="D324" s="3">
        <f>DATE(B324,MATCH(C324,{"January","February","March","April","May","June","July","August","September","October","November","December"},0),1)</f>
        <v>44562</v>
      </c>
      <c r="E324">
        <v>152.19999999999999</v>
      </c>
      <c r="F324">
        <v>202.1</v>
      </c>
      <c r="G324">
        <v>180.1</v>
      </c>
      <c r="H324">
        <v>160.4</v>
      </c>
      <c r="I324">
        <v>171</v>
      </c>
      <c r="J324">
        <v>156.5</v>
      </c>
      <c r="K324">
        <v>203.6</v>
      </c>
      <c r="L324">
        <v>163.80000000000001</v>
      </c>
      <c r="M324">
        <v>121.3</v>
      </c>
      <c r="N324">
        <v>169.8</v>
      </c>
      <c r="O324">
        <v>156.6</v>
      </c>
      <c r="P324">
        <v>179</v>
      </c>
      <c r="Q324">
        <v>170.3</v>
      </c>
      <c r="R324">
        <v>196.4</v>
      </c>
      <c r="S324">
        <v>164.7</v>
      </c>
      <c r="T324">
        <v>148.5</v>
      </c>
      <c r="U324">
        <v>162.19999999999999</v>
      </c>
      <c r="V324">
        <v>164.5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  <c r="AF324">
        <f t="shared" si="12"/>
        <v>168.2076923076923</v>
      </c>
      <c r="AG324">
        <v>196.4</v>
      </c>
      <c r="AH324">
        <f>Table1[[#This Row],[Clothing and footwear]]</f>
        <v>162.19999999999999</v>
      </c>
      <c r="AI324">
        <v>164.5</v>
      </c>
      <c r="AJ324">
        <v>161.6</v>
      </c>
      <c r="AK324">
        <f>AVERAGE(Table1[[#This Row],[Household goods and services]],Table1[[#This Row],[Personal care and effects]])</f>
        <v>159.80000000000001</v>
      </c>
      <c r="AL324">
        <f>Table1[[#This Row],[Health]]</f>
        <v>166.1</v>
      </c>
      <c r="AM324">
        <v>152.69999999999999</v>
      </c>
      <c r="AN324">
        <f>AVERAGE(Table1[[#This Row],[Education]],Table1[[#This Row],[Recreation and amusement]])</f>
        <v>159.69999999999999</v>
      </c>
      <c r="AO324">
        <f>Table1[[#This Row],[Miscellaneous]]</f>
        <v>158.6</v>
      </c>
      <c r="AP324" t="str">
        <f t="shared" si="13"/>
        <v>Post-COVID</v>
      </c>
    </row>
    <row r="325" spans="1:42" x14ac:dyDescent="0.25">
      <c r="A325" t="s">
        <v>34</v>
      </c>
      <c r="B325">
        <v>2022</v>
      </c>
      <c r="C325" t="s">
        <v>31</v>
      </c>
      <c r="D325" s="3">
        <f>DATE(B325,MATCH(C325,{"January","February","March","April","May","June","July","August","September","October","November","December"},0),1)</f>
        <v>44562</v>
      </c>
      <c r="E325">
        <v>149.5</v>
      </c>
      <c r="F325">
        <v>198.7</v>
      </c>
      <c r="G325">
        <v>178.8</v>
      </c>
      <c r="H325">
        <v>160.5</v>
      </c>
      <c r="I325">
        <v>184.7</v>
      </c>
      <c r="J325">
        <v>153.69999999999999</v>
      </c>
      <c r="K325">
        <v>174.3</v>
      </c>
      <c r="L325">
        <v>163.9</v>
      </c>
      <c r="M325">
        <v>120</v>
      </c>
      <c r="N325">
        <v>172.1</v>
      </c>
      <c r="O325">
        <v>164.3</v>
      </c>
      <c r="P325">
        <v>177.3</v>
      </c>
      <c r="Q325">
        <v>166.4</v>
      </c>
      <c r="R325">
        <v>192.2</v>
      </c>
      <c r="S325">
        <v>169.9</v>
      </c>
      <c r="T325">
        <v>160.69999999999999</v>
      </c>
      <c r="U325">
        <v>168.5</v>
      </c>
      <c r="V325">
        <v>164.5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  <c r="AF325">
        <f t="shared" si="12"/>
        <v>166.47692307692307</v>
      </c>
      <c r="AG325">
        <v>192.2</v>
      </c>
      <c r="AH325">
        <f>Table1[[#This Row],[Clothing and footwear]]</f>
        <v>168.5</v>
      </c>
      <c r="AI325">
        <v>164.5</v>
      </c>
      <c r="AJ325">
        <v>164.2</v>
      </c>
      <c r="AK325">
        <f>AVERAGE(Table1[[#This Row],[Household goods and services]],Table1[[#This Row],[Personal care and effects]])</f>
        <v>162.05000000000001</v>
      </c>
      <c r="AL325">
        <f>Table1[[#This Row],[Health]]</f>
        <v>171.4</v>
      </c>
      <c r="AM325">
        <v>156.5</v>
      </c>
      <c r="AN325">
        <f>AVERAGE(Table1[[#This Row],[Education]],Table1[[#This Row],[Recreation and amusement]])</f>
        <v>162.94999999999999</v>
      </c>
      <c r="AO325">
        <f>Table1[[#This Row],[Miscellaneous]]</f>
        <v>162.69999999999999</v>
      </c>
      <c r="AP325" t="str">
        <f t="shared" si="13"/>
        <v>Post-COVID</v>
      </c>
    </row>
    <row r="326" spans="1:42" x14ac:dyDescent="0.25">
      <c r="A326" t="s">
        <v>30</v>
      </c>
      <c r="B326">
        <v>2022</v>
      </c>
      <c r="C326" t="s">
        <v>35</v>
      </c>
      <c r="D326" s="3">
        <f>DATE(B326,MATCH(C326,{"January","February","March","April","May","June","July","August","September","October","November","December"},0),1)</f>
        <v>44593</v>
      </c>
      <c r="E326">
        <v>148.80000000000001</v>
      </c>
      <c r="F326">
        <v>198.1</v>
      </c>
      <c r="G326">
        <v>175.5</v>
      </c>
      <c r="H326">
        <v>160.69999999999999</v>
      </c>
      <c r="I326">
        <v>192.6</v>
      </c>
      <c r="J326">
        <v>151.4</v>
      </c>
      <c r="K326">
        <v>155.19999999999999</v>
      </c>
      <c r="L326">
        <v>163.9</v>
      </c>
      <c r="M326">
        <v>118.1</v>
      </c>
      <c r="N326">
        <v>175.4</v>
      </c>
      <c r="O326">
        <v>170.5</v>
      </c>
      <c r="P326">
        <v>176.3</v>
      </c>
      <c r="Q326">
        <v>163.9</v>
      </c>
      <c r="R326">
        <v>191.5</v>
      </c>
      <c r="S326">
        <v>174.1</v>
      </c>
      <c r="T326">
        <v>171</v>
      </c>
      <c r="U326">
        <v>173.7</v>
      </c>
      <c r="V326">
        <v>165.5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  <c r="AF326">
        <f t="shared" si="12"/>
        <v>165.41538461538462</v>
      </c>
      <c r="AG326">
        <v>191.5</v>
      </c>
      <c r="AH326">
        <f>Table1[[#This Row],[Clothing and footwear]]</f>
        <v>173.7</v>
      </c>
      <c r="AI326">
        <v>165.5</v>
      </c>
      <c r="AJ326">
        <v>167.4</v>
      </c>
      <c r="AK326">
        <f>AVERAGE(Table1[[#This Row],[Household goods and services]],Table1[[#This Row],[Personal care and effects]])</f>
        <v>165.1</v>
      </c>
      <c r="AL326">
        <f>Table1[[#This Row],[Health]]</f>
        <v>175.3</v>
      </c>
      <c r="AM326">
        <v>161.19999999999999</v>
      </c>
      <c r="AN326">
        <f>AVERAGE(Table1[[#This Row],[Education]],Table1[[#This Row],[Recreation and amusement]])</f>
        <v>167.9</v>
      </c>
      <c r="AO326">
        <f>Table1[[#This Row],[Miscellaneous]]</f>
        <v>167.3</v>
      </c>
      <c r="AP326" t="str">
        <f t="shared" si="13"/>
        <v>Post-COVID</v>
      </c>
    </row>
    <row r="327" spans="1:42" x14ac:dyDescent="0.25">
      <c r="A327" t="s">
        <v>33</v>
      </c>
      <c r="B327">
        <v>2022</v>
      </c>
      <c r="C327" t="s">
        <v>35</v>
      </c>
      <c r="D327" s="3">
        <f>DATE(B327,MATCH(C327,{"January","February","March","April","May","June","July","August","September","October","November","December"},0),1)</f>
        <v>44593</v>
      </c>
      <c r="E327">
        <v>152.5</v>
      </c>
      <c r="F327">
        <v>205.2</v>
      </c>
      <c r="G327">
        <v>176.4</v>
      </c>
      <c r="H327">
        <v>160.6</v>
      </c>
      <c r="I327">
        <v>171.5</v>
      </c>
      <c r="J327">
        <v>156.4</v>
      </c>
      <c r="K327">
        <v>198</v>
      </c>
      <c r="L327">
        <v>163.19999999999999</v>
      </c>
      <c r="M327">
        <v>120.6</v>
      </c>
      <c r="N327">
        <v>172.2</v>
      </c>
      <c r="O327">
        <v>156.69999999999999</v>
      </c>
      <c r="P327">
        <v>180</v>
      </c>
      <c r="Q327">
        <v>170.2</v>
      </c>
      <c r="R327">
        <v>196.5</v>
      </c>
      <c r="S327">
        <v>165.7</v>
      </c>
      <c r="T327">
        <v>150.4</v>
      </c>
      <c r="U327">
        <v>163.4</v>
      </c>
      <c r="V327">
        <v>165.5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  <c r="AF327">
        <f t="shared" si="12"/>
        <v>167.96153846153845</v>
      </c>
      <c r="AG327">
        <v>196.5</v>
      </c>
      <c r="AH327">
        <f>Table1[[#This Row],[Clothing and footwear]]</f>
        <v>163.4</v>
      </c>
      <c r="AI327">
        <v>165.5</v>
      </c>
      <c r="AJ327">
        <v>163</v>
      </c>
      <c r="AK327">
        <f>AVERAGE(Table1[[#This Row],[Household goods and services]],Table1[[#This Row],[Personal care and effects]])</f>
        <v>160.80000000000001</v>
      </c>
      <c r="AL327">
        <f>Table1[[#This Row],[Health]]</f>
        <v>167.2</v>
      </c>
      <c r="AM327">
        <v>153.1</v>
      </c>
      <c r="AN327">
        <f>AVERAGE(Table1[[#This Row],[Education]],Table1[[#This Row],[Recreation and amusement]])</f>
        <v>160.75</v>
      </c>
      <c r="AO327">
        <f>Table1[[#This Row],[Miscellaneous]]</f>
        <v>159.4</v>
      </c>
      <c r="AP327" t="str">
        <f t="shared" si="13"/>
        <v>Post-COVID</v>
      </c>
    </row>
    <row r="328" spans="1:42" x14ac:dyDescent="0.25">
      <c r="A328" t="s">
        <v>34</v>
      </c>
      <c r="B328">
        <v>2022</v>
      </c>
      <c r="C328" t="s">
        <v>35</v>
      </c>
      <c r="D328" s="3">
        <f>DATE(B328,MATCH(C328,{"January","February","March","April","May","June","July","August","September","October","November","December"},0),1)</f>
        <v>44593</v>
      </c>
      <c r="E328">
        <v>150</v>
      </c>
      <c r="F328">
        <v>200.6</v>
      </c>
      <c r="G328">
        <v>175.8</v>
      </c>
      <c r="H328">
        <v>160.69999999999999</v>
      </c>
      <c r="I328">
        <v>184.9</v>
      </c>
      <c r="J328">
        <v>153.69999999999999</v>
      </c>
      <c r="K328">
        <v>169.7</v>
      </c>
      <c r="L328">
        <v>163.69999999999999</v>
      </c>
      <c r="M328">
        <v>118.9</v>
      </c>
      <c r="N328">
        <v>174.3</v>
      </c>
      <c r="O328">
        <v>164.7</v>
      </c>
      <c r="P328">
        <v>178</v>
      </c>
      <c r="Q328">
        <v>166.2</v>
      </c>
      <c r="R328">
        <v>192.8</v>
      </c>
      <c r="S328">
        <v>170.8</v>
      </c>
      <c r="T328">
        <v>162.4</v>
      </c>
      <c r="U328">
        <v>169.6</v>
      </c>
      <c r="V328">
        <v>165.5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  <c r="AF328">
        <f t="shared" si="12"/>
        <v>166.24615384615387</v>
      </c>
      <c r="AG328">
        <v>192.8</v>
      </c>
      <c r="AH328">
        <f>Table1[[#This Row],[Clothing and footwear]]</f>
        <v>169.6</v>
      </c>
      <c r="AI328">
        <v>165.5</v>
      </c>
      <c r="AJ328">
        <v>165.7</v>
      </c>
      <c r="AK328">
        <f>AVERAGE(Table1[[#This Row],[Household goods and services]],Table1[[#This Row],[Personal care and effects]])</f>
        <v>163.10000000000002</v>
      </c>
      <c r="AL328">
        <f>Table1[[#This Row],[Health]]</f>
        <v>172.2</v>
      </c>
      <c r="AM328">
        <v>156.9</v>
      </c>
      <c r="AN328">
        <f>AVERAGE(Table1[[#This Row],[Education]],Table1[[#This Row],[Recreation and amusement]])</f>
        <v>163.75</v>
      </c>
      <c r="AO328">
        <f>Table1[[#This Row],[Miscellaneous]]</f>
        <v>163.5</v>
      </c>
      <c r="AP328" t="str">
        <f t="shared" si="13"/>
        <v>Post-COVID</v>
      </c>
    </row>
    <row r="329" spans="1:42" x14ac:dyDescent="0.25">
      <c r="A329" t="s">
        <v>30</v>
      </c>
      <c r="B329">
        <v>2022</v>
      </c>
      <c r="C329" t="s">
        <v>36</v>
      </c>
      <c r="D329" s="3">
        <f>DATE(B329,MATCH(C329,{"January","February","March","April","May","June","July","August","September","October","November","December"},0),1)</f>
        <v>44621</v>
      </c>
      <c r="E329">
        <v>150.19999999999999</v>
      </c>
      <c r="F329">
        <v>208</v>
      </c>
      <c r="G329">
        <v>167.9</v>
      </c>
      <c r="H329">
        <v>162</v>
      </c>
      <c r="I329">
        <v>203.1</v>
      </c>
      <c r="J329">
        <v>155.9</v>
      </c>
      <c r="K329">
        <v>155.80000000000001</v>
      </c>
      <c r="L329">
        <v>164.2</v>
      </c>
      <c r="M329">
        <v>118.1</v>
      </c>
      <c r="N329">
        <v>178.7</v>
      </c>
      <c r="O329">
        <v>171.2</v>
      </c>
      <c r="P329">
        <v>177.4</v>
      </c>
      <c r="Q329">
        <v>166.6</v>
      </c>
      <c r="R329">
        <v>192.3</v>
      </c>
      <c r="S329">
        <v>175.4</v>
      </c>
      <c r="T329">
        <v>173.2</v>
      </c>
      <c r="U329">
        <v>175.1</v>
      </c>
      <c r="V329">
        <v>165.3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  <c r="AF329">
        <f t="shared" si="12"/>
        <v>167.62307692307695</v>
      </c>
      <c r="AG329">
        <v>192.3</v>
      </c>
      <c r="AH329">
        <f>Table1[[#This Row],[Clothing and footwear]]</f>
        <v>175.1</v>
      </c>
      <c r="AI329">
        <v>165.3</v>
      </c>
      <c r="AJ329">
        <v>168.9</v>
      </c>
      <c r="AK329">
        <f>AVERAGE(Table1[[#This Row],[Household goods and services]],Table1[[#This Row],[Personal care and effects]])</f>
        <v>166.95</v>
      </c>
      <c r="AL329">
        <f>Table1[[#This Row],[Health]]</f>
        <v>176</v>
      </c>
      <c r="AM329">
        <v>162</v>
      </c>
      <c r="AN329">
        <f>AVERAGE(Table1[[#This Row],[Education]],Table1[[#This Row],[Recreation and amusement]])</f>
        <v>168.6</v>
      </c>
      <c r="AO329">
        <f>Table1[[#This Row],[Miscellaneous]]</f>
        <v>168.3</v>
      </c>
      <c r="AP329" t="str">
        <f t="shared" si="13"/>
        <v>Post-COVID</v>
      </c>
    </row>
    <row r="330" spans="1:42" x14ac:dyDescent="0.25">
      <c r="A330" t="s">
        <v>33</v>
      </c>
      <c r="B330">
        <v>2022</v>
      </c>
      <c r="C330" t="s">
        <v>36</v>
      </c>
      <c r="D330" s="3">
        <f>DATE(B330,MATCH(C330,{"January","February","March","April","May","June","July","August","September","October","November","December"},0),1)</f>
        <v>44621</v>
      </c>
      <c r="E330">
        <v>153.69999999999999</v>
      </c>
      <c r="F330">
        <v>215.8</v>
      </c>
      <c r="G330">
        <v>167.7</v>
      </c>
      <c r="H330">
        <v>162.6</v>
      </c>
      <c r="I330">
        <v>180</v>
      </c>
      <c r="J330">
        <v>159.6</v>
      </c>
      <c r="K330">
        <v>188.4</v>
      </c>
      <c r="L330">
        <v>163.4</v>
      </c>
      <c r="M330">
        <v>120.3</v>
      </c>
      <c r="N330">
        <v>174.7</v>
      </c>
      <c r="O330">
        <v>157.1</v>
      </c>
      <c r="P330">
        <v>181.5</v>
      </c>
      <c r="Q330">
        <v>171.5</v>
      </c>
      <c r="R330">
        <v>197.5</v>
      </c>
      <c r="S330">
        <v>167.1</v>
      </c>
      <c r="T330">
        <v>152.6</v>
      </c>
      <c r="U330">
        <v>164.9</v>
      </c>
      <c r="V330">
        <v>165.3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  <c r="AF330">
        <f t="shared" si="12"/>
        <v>168.94615384615386</v>
      </c>
      <c r="AG330">
        <v>197.5</v>
      </c>
      <c r="AH330">
        <f>Table1[[#This Row],[Clothing and footwear]]</f>
        <v>164.9</v>
      </c>
      <c r="AI330">
        <v>165.3</v>
      </c>
      <c r="AJ330">
        <v>164.5</v>
      </c>
      <c r="AK330">
        <f>AVERAGE(Table1[[#This Row],[Household goods and services]],Table1[[#This Row],[Personal care and effects]])</f>
        <v>162.69999999999999</v>
      </c>
      <c r="AL330">
        <f>Table1[[#This Row],[Health]]</f>
        <v>168.2</v>
      </c>
      <c r="AM330">
        <v>154.19999999999999</v>
      </c>
      <c r="AN330">
        <f>AVERAGE(Table1[[#This Row],[Education]],Table1[[#This Row],[Recreation and amusement]])</f>
        <v>161.75</v>
      </c>
      <c r="AO330">
        <f>Table1[[#This Row],[Miscellaneous]]</f>
        <v>160.6</v>
      </c>
      <c r="AP330" t="str">
        <f t="shared" si="13"/>
        <v>Post-COVID</v>
      </c>
    </row>
    <row r="331" spans="1:42" x14ac:dyDescent="0.25">
      <c r="A331" t="s">
        <v>34</v>
      </c>
      <c r="B331">
        <v>2022</v>
      </c>
      <c r="C331" t="s">
        <v>36</v>
      </c>
      <c r="D331" s="3">
        <f>DATE(B331,MATCH(C331,{"January","February","March","April","May","June","July","August","September","October","November","December"},0),1)</f>
        <v>44621</v>
      </c>
      <c r="E331">
        <v>151.30000000000001</v>
      </c>
      <c r="F331">
        <v>210.7</v>
      </c>
      <c r="G331">
        <v>167.8</v>
      </c>
      <c r="H331">
        <v>162.19999999999999</v>
      </c>
      <c r="I331">
        <v>194.6</v>
      </c>
      <c r="J331">
        <v>157.6</v>
      </c>
      <c r="K331">
        <v>166.9</v>
      </c>
      <c r="L331">
        <v>163.9</v>
      </c>
      <c r="M331">
        <v>118.8</v>
      </c>
      <c r="N331">
        <v>177.4</v>
      </c>
      <c r="O331">
        <v>165.3</v>
      </c>
      <c r="P331">
        <v>179.3</v>
      </c>
      <c r="Q331">
        <v>168.4</v>
      </c>
      <c r="R331">
        <v>193.7</v>
      </c>
      <c r="S331">
        <v>172.1</v>
      </c>
      <c r="T331">
        <v>164.6</v>
      </c>
      <c r="U331">
        <v>171.1</v>
      </c>
      <c r="V331">
        <v>165.3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  <c r="AF331">
        <f t="shared" si="12"/>
        <v>168.01538461538465</v>
      </c>
      <c r="AG331">
        <v>193.7</v>
      </c>
      <c r="AH331">
        <f>Table1[[#This Row],[Clothing and footwear]]</f>
        <v>171.1</v>
      </c>
      <c r="AI331">
        <v>165.3</v>
      </c>
      <c r="AJ331">
        <v>167.2</v>
      </c>
      <c r="AK331">
        <f>AVERAGE(Table1[[#This Row],[Household goods and services]],Table1[[#This Row],[Personal care and effects]])</f>
        <v>165</v>
      </c>
      <c r="AL331">
        <f>Table1[[#This Row],[Health]]</f>
        <v>173</v>
      </c>
      <c r="AM331">
        <v>157.9</v>
      </c>
      <c r="AN331">
        <f>AVERAGE(Table1[[#This Row],[Education]],Table1[[#This Row],[Recreation and amusement]])</f>
        <v>164.65</v>
      </c>
      <c r="AO331">
        <f>Table1[[#This Row],[Miscellaneous]]</f>
        <v>164.6</v>
      </c>
      <c r="AP331" t="str">
        <f t="shared" si="13"/>
        <v>Post-COVID</v>
      </c>
    </row>
    <row r="332" spans="1:42" x14ac:dyDescent="0.25">
      <c r="A332" t="s">
        <v>30</v>
      </c>
      <c r="B332">
        <v>2022</v>
      </c>
      <c r="C332" t="s">
        <v>37</v>
      </c>
      <c r="D332" s="3">
        <f>DATE(B332,MATCH(C332,{"January","February","March","April","May","June","July","August","September","October","November","December"},0),1)</f>
        <v>44652</v>
      </c>
      <c r="E332">
        <v>151.80000000000001</v>
      </c>
      <c r="F332">
        <v>209.7</v>
      </c>
      <c r="G332">
        <v>164.5</v>
      </c>
      <c r="H332">
        <v>163.80000000000001</v>
      </c>
      <c r="I332">
        <v>207.4</v>
      </c>
      <c r="J332">
        <v>169.7</v>
      </c>
      <c r="K332">
        <v>153.6</v>
      </c>
      <c r="L332">
        <v>165.1</v>
      </c>
      <c r="M332">
        <v>118.2</v>
      </c>
      <c r="N332">
        <v>182.9</v>
      </c>
      <c r="O332">
        <v>172.4</v>
      </c>
      <c r="P332">
        <v>178.9</v>
      </c>
      <c r="Q332">
        <v>168.6</v>
      </c>
      <c r="R332">
        <v>192.8</v>
      </c>
      <c r="S332">
        <v>177.5</v>
      </c>
      <c r="T332">
        <v>175.1</v>
      </c>
      <c r="U332">
        <v>177.1</v>
      </c>
      <c r="V332">
        <v>167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  <c r="AF332">
        <f t="shared" si="12"/>
        <v>169.73846153846154</v>
      </c>
      <c r="AG332">
        <v>192.8</v>
      </c>
      <c r="AH332">
        <f>Table1[[#This Row],[Clothing and footwear]]</f>
        <v>177.1</v>
      </c>
      <c r="AI332">
        <v>167</v>
      </c>
      <c r="AJ332">
        <v>173.3</v>
      </c>
      <c r="AK332">
        <f>AVERAGE(Table1[[#This Row],[Household goods and services]],Table1[[#This Row],[Personal care and effects]])</f>
        <v>168.35</v>
      </c>
      <c r="AL332">
        <f>Table1[[#This Row],[Health]]</f>
        <v>177</v>
      </c>
      <c r="AM332">
        <v>166.2</v>
      </c>
      <c r="AN332">
        <f>AVERAGE(Table1[[#This Row],[Education]],Table1[[#This Row],[Recreation and amusement]])</f>
        <v>169.05</v>
      </c>
      <c r="AO332">
        <f>Table1[[#This Row],[Miscellaneous]]</f>
        <v>170.2</v>
      </c>
      <c r="AP332" t="str">
        <f t="shared" si="13"/>
        <v>Post-COVID</v>
      </c>
    </row>
    <row r="333" spans="1:42" x14ac:dyDescent="0.25">
      <c r="A333" t="s">
        <v>33</v>
      </c>
      <c r="B333">
        <v>2022</v>
      </c>
      <c r="C333" t="s">
        <v>37</v>
      </c>
      <c r="D333" s="3">
        <f>DATE(B333,MATCH(C333,{"January","February","March","April","May","June","July","August","September","October","November","December"},0),1)</f>
        <v>44652</v>
      </c>
      <c r="E333">
        <v>155.4</v>
      </c>
      <c r="F333">
        <v>215.8</v>
      </c>
      <c r="G333">
        <v>164.6</v>
      </c>
      <c r="H333">
        <v>164.2</v>
      </c>
      <c r="I333">
        <v>186</v>
      </c>
      <c r="J333">
        <v>175.9</v>
      </c>
      <c r="K333">
        <v>190.7</v>
      </c>
      <c r="L333">
        <v>164</v>
      </c>
      <c r="M333">
        <v>120.5</v>
      </c>
      <c r="N333">
        <v>178</v>
      </c>
      <c r="O333">
        <v>157.5</v>
      </c>
      <c r="P333">
        <v>183.3</v>
      </c>
      <c r="Q333">
        <v>174.5</v>
      </c>
      <c r="R333">
        <v>197.1</v>
      </c>
      <c r="S333">
        <v>168.4</v>
      </c>
      <c r="T333">
        <v>154.5</v>
      </c>
      <c r="U333">
        <v>166.3</v>
      </c>
      <c r="V333">
        <v>167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  <c r="AF333">
        <f t="shared" si="12"/>
        <v>171.56923076923078</v>
      </c>
      <c r="AG333">
        <v>197.1</v>
      </c>
      <c r="AH333">
        <f>Table1[[#This Row],[Clothing and footwear]]</f>
        <v>166.3</v>
      </c>
      <c r="AI333">
        <v>167</v>
      </c>
      <c r="AJ333">
        <v>170.5</v>
      </c>
      <c r="AK333">
        <f>AVERAGE(Table1[[#This Row],[Household goods and services]],Table1[[#This Row],[Personal care and effects]])</f>
        <v>164.10000000000002</v>
      </c>
      <c r="AL333">
        <f>Table1[[#This Row],[Health]]</f>
        <v>169</v>
      </c>
      <c r="AM333">
        <v>159.30000000000001</v>
      </c>
      <c r="AN333">
        <f>AVERAGE(Table1[[#This Row],[Education]],Table1[[#This Row],[Recreation and amusement]])</f>
        <v>163.1</v>
      </c>
      <c r="AO333">
        <f>Table1[[#This Row],[Miscellaneous]]</f>
        <v>163.1</v>
      </c>
      <c r="AP333" t="str">
        <f t="shared" si="13"/>
        <v>Post-COVID</v>
      </c>
    </row>
    <row r="334" spans="1:42" x14ac:dyDescent="0.25">
      <c r="A334" t="s">
        <v>34</v>
      </c>
      <c r="B334">
        <v>2022</v>
      </c>
      <c r="C334" t="s">
        <v>37</v>
      </c>
      <c r="D334" s="3">
        <f>DATE(B334,MATCH(C334,{"January","February","March","April","May","June","July","August","September","October","November","December"},0),1)</f>
        <v>44652</v>
      </c>
      <c r="E334">
        <v>152.9</v>
      </c>
      <c r="F334">
        <v>211.8</v>
      </c>
      <c r="G334">
        <v>164.5</v>
      </c>
      <c r="H334">
        <v>163.9</v>
      </c>
      <c r="I334">
        <v>199.5</v>
      </c>
      <c r="J334">
        <v>172.6</v>
      </c>
      <c r="K334">
        <v>166.2</v>
      </c>
      <c r="L334">
        <v>164.7</v>
      </c>
      <c r="M334">
        <v>119</v>
      </c>
      <c r="N334">
        <v>181.3</v>
      </c>
      <c r="O334">
        <v>166.2</v>
      </c>
      <c r="P334">
        <v>180.9</v>
      </c>
      <c r="Q334">
        <v>170.8</v>
      </c>
      <c r="R334">
        <v>193.9</v>
      </c>
      <c r="S334">
        <v>173.9</v>
      </c>
      <c r="T334">
        <v>166.5</v>
      </c>
      <c r="U334">
        <v>172.8</v>
      </c>
      <c r="V334">
        <v>167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  <c r="AF334">
        <f t="shared" si="12"/>
        <v>170.33076923076925</v>
      </c>
      <c r="AG334">
        <v>193.9</v>
      </c>
      <c r="AH334">
        <f>Table1[[#This Row],[Clothing and footwear]]</f>
        <v>172.8</v>
      </c>
      <c r="AI334">
        <v>167</v>
      </c>
      <c r="AJ334">
        <v>172.2</v>
      </c>
      <c r="AK334">
        <f>AVERAGE(Table1[[#This Row],[Household goods and services]],Table1[[#This Row],[Personal care and effects]])</f>
        <v>166.4</v>
      </c>
      <c r="AL334">
        <f>Table1[[#This Row],[Health]]</f>
        <v>174</v>
      </c>
      <c r="AM334">
        <v>162.6</v>
      </c>
      <c r="AN334">
        <f>AVERAGE(Table1[[#This Row],[Education]],Table1[[#This Row],[Recreation and amusement]])</f>
        <v>165.65</v>
      </c>
      <c r="AO334">
        <f>Table1[[#This Row],[Miscellaneous]]</f>
        <v>166.8</v>
      </c>
      <c r="AP334" t="str">
        <f t="shared" si="13"/>
        <v>Post-COVID</v>
      </c>
    </row>
    <row r="335" spans="1:42" x14ac:dyDescent="0.25">
      <c r="A335" t="s">
        <v>30</v>
      </c>
      <c r="B335">
        <v>2022</v>
      </c>
      <c r="C335" t="s">
        <v>38</v>
      </c>
      <c r="D335" s="3">
        <f>DATE(B335,MATCH(C335,{"January","February","March","April","May","June","July","August","September","October","November","December"},0),1)</f>
        <v>44682</v>
      </c>
      <c r="E335">
        <v>152.9</v>
      </c>
      <c r="F335">
        <v>214.7</v>
      </c>
      <c r="G335">
        <v>161.4</v>
      </c>
      <c r="H335">
        <v>164.6</v>
      </c>
      <c r="I335">
        <v>209.9</v>
      </c>
      <c r="J335">
        <v>168</v>
      </c>
      <c r="K335">
        <v>160.4</v>
      </c>
      <c r="L335">
        <v>165</v>
      </c>
      <c r="M335">
        <v>118.9</v>
      </c>
      <c r="N335">
        <v>186.6</v>
      </c>
      <c r="O335">
        <v>173.2</v>
      </c>
      <c r="P335">
        <v>180.4</v>
      </c>
      <c r="Q335">
        <v>170.8</v>
      </c>
      <c r="R335">
        <v>192.9</v>
      </c>
      <c r="S335">
        <v>179.3</v>
      </c>
      <c r="T335">
        <v>177.2</v>
      </c>
      <c r="U335">
        <v>179</v>
      </c>
      <c r="V335">
        <v>167.5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  <c r="AF335">
        <f t="shared" si="12"/>
        <v>171.2923076923077</v>
      </c>
      <c r="AG335">
        <v>192.9</v>
      </c>
      <c r="AH335">
        <f>Table1[[#This Row],[Clothing and footwear]]</f>
        <v>179</v>
      </c>
      <c r="AI335">
        <v>167.5</v>
      </c>
      <c r="AJ335">
        <v>175.3</v>
      </c>
      <c r="AK335">
        <f>AVERAGE(Table1[[#This Row],[Household goods and services]],Table1[[#This Row],[Personal care and effects]])</f>
        <v>168.7</v>
      </c>
      <c r="AL335">
        <f>Table1[[#This Row],[Health]]</f>
        <v>177.7</v>
      </c>
      <c r="AM335">
        <v>167.1</v>
      </c>
      <c r="AN335">
        <f>AVERAGE(Table1[[#This Row],[Education]],Table1[[#This Row],[Recreation and amusement]])</f>
        <v>169.7</v>
      </c>
      <c r="AO335">
        <f>Table1[[#This Row],[Miscellaneous]]</f>
        <v>170.9</v>
      </c>
      <c r="AP335" t="str">
        <f t="shared" si="13"/>
        <v>Post-COVID</v>
      </c>
    </row>
    <row r="336" spans="1:42" x14ac:dyDescent="0.25">
      <c r="A336" t="s">
        <v>33</v>
      </c>
      <c r="B336">
        <v>2022</v>
      </c>
      <c r="C336" t="s">
        <v>38</v>
      </c>
      <c r="D336" s="3">
        <f>DATE(B336,MATCH(C336,{"January","February","March","April","May","June","July","August","September","October","November","December"},0),1)</f>
        <v>44682</v>
      </c>
      <c r="E336">
        <v>156.69999999999999</v>
      </c>
      <c r="F336">
        <v>221.2</v>
      </c>
      <c r="G336">
        <v>164.1</v>
      </c>
      <c r="H336">
        <v>165.4</v>
      </c>
      <c r="I336">
        <v>189.5</v>
      </c>
      <c r="J336">
        <v>174.5</v>
      </c>
      <c r="K336">
        <v>203.2</v>
      </c>
      <c r="L336">
        <v>164.1</v>
      </c>
      <c r="M336">
        <v>121.2</v>
      </c>
      <c r="N336">
        <v>181.4</v>
      </c>
      <c r="O336">
        <v>158.5</v>
      </c>
      <c r="P336">
        <v>184.9</v>
      </c>
      <c r="Q336">
        <v>177.5</v>
      </c>
      <c r="R336">
        <v>197.5</v>
      </c>
      <c r="S336">
        <v>170</v>
      </c>
      <c r="T336">
        <v>155.9</v>
      </c>
      <c r="U336">
        <v>167.8</v>
      </c>
      <c r="V336">
        <v>167.5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  <c r="AF336">
        <f t="shared" si="12"/>
        <v>174.01538461538465</v>
      </c>
      <c r="AG336">
        <v>197.5</v>
      </c>
      <c r="AH336">
        <f>Table1[[#This Row],[Clothing and footwear]]</f>
        <v>167.8</v>
      </c>
      <c r="AI336">
        <v>167.5</v>
      </c>
      <c r="AJ336">
        <v>173.5</v>
      </c>
      <c r="AK336">
        <f>AVERAGE(Table1[[#This Row],[Household goods and services]],Table1[[#This Row],[Personal care and effects]])</f>
        <v>164.64999999999998</v>
      </c>
      <c r="AL336">
        <f>Table1[[#This Row],[Health]]</f>
        <v>170.1</v>
      </c>
      <c r="AM336">
        <v>159.4</v>
      </c>
      <c r="AN336">
        <f>AVERAGE(Table1[[#This Row],[Education]],Table1[[#This Row],[Recreation and amusement]])</f>
        <v>164.2</v>
      </c>
      <c r="AO336">
        <f>Table1[[#This Row],[Miscellaneous]]</f>
        <v>163.80000000000001</v>
      </c>
      <c r="AP336" t="str">
        <f t="shared" si="13"/>
        <v>Post-COVID</v>
      </c>
    </row>
    <row r="337" spans="1:42" x14ac:dyDescent="0.25">
      <c r="A337" t="s">
        <v>34</v>
      </c>
      <c r="B337">
        <v>2022</v>
      </c>
      <c r="C337" t="s">
        <v>38</v>
      </c>
      <c r="D337" s="3">
        <f>DATE(B337,MATCH(C337,{"January","February","March","April","May","June","July","August","September","October","November","December"},0),1)</f>
        <v>44682</v>
      </c>
      <c r="E337">
        <v>154.1</v>
      </c>
      <c r="F337">
        <v>217</v>
      </c>
      <c r="G337">
        <v>162.4</v>
      </c>
      <c r="H337">
        <v>164.9</v>
      </c>
      <c r="I337">
        <v>202.4</v>
      </c>
      <c r="J337">
        <v>171</v>
      </c>
      <c r="K337">
        <v>174.9</v>
      </c>
      <c r="L337">
        <v>164.7</v>
      </c>
      <c r="M337">
        <v>119.7</v>
      </c>
      <c r="N337">
        <v>184.9</v>
      </c>
      <c r="O337">
        <v>167.1</v>
      </c>
      <c r="P337">
        <v>182.5</v>
      </c>
      <c r="Q337">
        <v>173.3</v>
      </c>
      <c r="R337">
        <v>194.1</v>
      </c>
      <c r="S337">
        <v>175.6</v>
      </c>
      <c r="T337">
        <v>168.4</v>
      </c>
      <c r="U337">
        <v>174.6</v>
      </c>
      <c r="V337">
        <v>167.5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  <c r="AF337">
        <f t="shared" si="12"/>
        <v>172.22307692307697</v>
      </c>
      <c r="AG337">
        <v>194.1</v>
      </c>
      <c r="AH337">
        <f>Table1[[#This Row],[Clothing and footwear]]</f>
        <v>174.6</v>
      </c>
      <c r="AI337">
        <v>167.5</v>
      </c>
      <c r="AJ337">
        <v>174.6</v>
      </c>
      <c r="AK337">
        <f>AVERAGE(Table1[[#This Row],[Household goods and services]],Table1[[#This Row],[Personal care and effects]])</f>
        <v>166.8</v>
      </c>
      <c r="AL337">
        <f>Table1[[#This Row],[Health]]</f>
        <v>174.8</v>
      </c>
      <c r="AM337">
        <v>163</v>
      </c>
      <c r="AN337">
        <f>AVERAGE(Table1[[#This Row],[Education]],Table1[[#This Row],[Recreation and amusement]])</f>
        <v>166.5</v>
      </c>
      <c r="AO337">
        <f>Table1[[#This Row],[Miscellaneous]]</f>
        <v>167.5</v>
      </c>
      <c r="AP337" t="str">
        <f t="shared" si="13"/>
        <v>Post-COVID</v>
      </c>
    </row>
    <row r="338" spans="1:42" x14ac:dyDescent="0.25">
      <c r="A338" t="s">
        <v>30</v>
      </c>
      <c r="B338">
        <v>2022</v>
      </c>
      <c r="C338" t="s">
        <v>39</v>
      </c>
      <c r="D338" s="3">
        <f>DATE(B338,MATCH(C338,{"January","February","March","April","May","June","July","August","September","October","November","December"},0),1)</f>
        <v>44713</v>
      </c>
      <c r="E338">
        <v>153.80000000000001</v>
      </c>
      <c r="F338">
        <v>217.2</v>
      </c>
      <c r="G338">
        <v>169.6</v>
      </c>
      <c r="H338">
        <v>165.4</v>
      </c>
      <c r="I338">
        <v>208.1</v>
      </c>
      <c r="J338">
        <v>165.8</v>
      </c>
      <c r="K338">
        <v>167.3</v>
      </c>
      <c r="L338">
        <v>164.6</v>
      </c>
      <c r="M338">
        <v>119.1</v>
      </c>
      <c r="N338">
        <v>188.9</v>
      </c>
      <c r="O338">
        <v>174.2</v>
      </c>
      <c r="P338">
        <v>181.9</v>
      </c>
      <c r="Q338">
        <v>172.4</v>
      </c>
      <c r="R338">
        <v>192.9</v>
      </c>
      <c r="S338">
        <v>180.7</v>
      </c>
      <c r="T338">
        <v>178.7</v>
      </c>
      <c r="U338">
        <v>180.4</v>
      </c>
      <c r="V338">
        <v>166.8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  <c r="AF338">
        <f t="shared" si="12"/>
        <v>172.94615384615386</v>
      </c>
      <c r="AG338">
        <v>192.9</v>
      </c>
      <c r="AH338">
        <f>Table1[[#This Row],[Clothing and footwear]]</f>
        <v>180.4</v>
      </c>
      <c r="AI338">
        <v>166.8</v>
      </c>
      <c r="AJ338">
        <v>176.7</v>
      </c>
      <c r="AK338">
        <f>AVERAGE(Table1[[#This Row],[Household goods and services]],Table1[[#This Row],[Personal care and effects]])</f>
        <v>169.9</v>
      </c>
      <c r="AL338">
        <f>Table1[[#This Row],[Health]]</f>
        <v>178.2</v>
      </c>
      <c r="AM338">
        <v>165.5</v>
      </c>
      <c r="AN338">
        <f>AVERAGE(Table1[[#This Row],[Education]],Table1[[#This Row],[Recreation and amusement]])</f>
        <v>170.3</v>
      </c>
      <c r="AO338">
        <f>Table1[[#This Row],[Miscellaneous]]</f>
        <v>171</v>
      </c>
      <c r="AP338" t="str">
        <f t="shared" si="13"/>
        <v>Post-COVID</v>
      </c>
    </row>
    <row r="339" spans="1:42" x14ac:dyDescent="0.25">
      <c r="A339" t="s">
        <v>33</v>
      </c>
      <c r="B339">
        <v>2022</v>
      </c>
      <c r="C339" t="s">
        <v>39</v>
      </c>
      <c r="D339" s="3">
        <f>DATE(B339,MATCH(C339,{"January","February","March","April","May","June","July","August","September","October","November","December"},0),1)</f>
        <v>44713</v>
      </c>
      <c r="E339">
        <v>157.5</v>
      </c>
      <c r="F339">
        <v>223.4</v>
      </c>
      <c r="G339">
        <v>172.8</v>
      </c>
      <c r="H339">
        <v>166.4</v>
      </c>
      <c r="I339">
        <v>188.6</v>
      </c>
      <c r="J339">
        <v>174.1</v>
      </c>
      <c r="K339">
        <v>211.5</v>
      </c>
      <c r="L339">
        <v>163.6</v>
      </c>
      <c r="M339">
        <v>121.4</v>
      </c>
      <c r="N339">
        <v>183.5</v>
      </c>
      <c r="O339">
        <v>159.1</v>
      </c>
      <c r="P339">
        <v>186.3</v>
      </c>
      <c r="Q339">
        <v>179.3</v>
      </c>
      <c r="R339">
        <v>198.3</v>
      </c>
      <c r="S339">
        <v>171.6</v>
      </c>
      <c r="T339">
        <v>157.4</v>
      </c>
      <c r="U339">
        <v>169.4</v>
      </c>
      <c r="V339">
        <v>166.8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  <c r="AF339">
        <f t="shared" si="12"/>
        <v>175.96153846153845</v>
      </c>
      <c r="AG339">
        <v>198.3</v>
      </c>
      <c r="AH339">
        <f>Table1[[#This Row],[Clothing and footwear]]</f>
        <v>169.4</v>
      </c>
      <c r="AI339">
        <v>166.8</v>
      </c>
      <c r="AJ339">
        <v>174.9</v>
      </c>
      <c r="AK339">
        <f>AVERAGE(Table1[[#This Row],[Household goods and services]],Table1[[#This Row],[Personal care and effects]])</f>
        <v>165.64999999999998</v>
      </c>
      <c r="AL339">
        <f>Table1[[#This Row],[Health]]</f>
        <v>170.9</v>
      </c>
      <c r="AM339">
        <v>157.19999999999999</v>
      </c>
      <c r="AN339">
        <f>AVERAGE(Table1[[#This Row],[Education]],Table1[[#This Row],[Recreation and amusement]])</f>
        <v>165.3</v>
      </c>
      <c r="AO339">
        <f>Table1[[#This Row],[Miscellaneous]]</f>
        <v>163.80000000000001</v>
      </c>
      <c r="AP339" t="str">
        <f t="shared" si="13"/>
        <v>Post-COVID</v>
      </c>
    </row>
    <row r="340" spans="1:42" x14ac:dyDescent="0.25">
      <c r="A340" t="s">
        <v>34</v>
      </c>
      <c r="B340">
        <v>2022</v>
      </c>
      <c r="C340" t="s">
        <v>39</v>
      </c>
      <c r="D340" s="3">
        <f>DATE(B340,MATCH(C340,{"January","February","March","April","May","June","July","August","September","October","November","December"},0),1)</f>
        <v>44713</v>
      </c>
      <c r="E340">
        <v>155</v>
      </c>
      <c r="F340">
        <v>219.4</v>
      </c>
      <c r="G340">
        <v>170.8</v>
      </c>
      <c r="H340">
        <v>165.8</v>
      </c>
      <c r="I340">
        <v>200.9</v>
      </c>
      <c r="J340">
        <v>169.7</v>
      </c>
      <c r="K340">
        <v>182.3</v>
      </c>
      <c r="L340">
        <v>164.3</v>
      </c>
      <c r="M340">
        <v>119.9</v>
      </c>
      <c r="N340">
        <v>187.1</v>
      </c>
      <c r="O340">
        <v>167.9</v>
      </c>
      <c r="P340">
        <v>183.9</v>
      </c>
      <c r="Q340">
        <v>174.9</v>
      </c>
      <c r="R340">
        <v>194.3</v>
      </c>
      <c r="S340">
        <v>177.1</v>
      </c>
      <c r="T340">
        <v>169.9</v>
      </c>
      <c r="U340">
        <v>176</v>
      </c>
      <c r="V340">
        <v>166.8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  <c r="AF340">
        <f t="shared" si="12"/>
        <v>173.99230769230769</v>
      </c>
      <c r="AG340">
        <v>194.3</v>
      </c>
      <c r="AH340">
        <f>Table1[[#This Row],[Clothing and footwear]]</f>
        <v>176</v>
      </c>
      <c r="AI340">
        <v>166.8</v>
      </c>
      <c r="AJ340">
        <v>176</v>
      </c>
      <c r="AK340">
        <f>AVERAGE(Table1[[#This Row],[Household goods and services]],Table1[[#This Row],[Personal care and effects]])</f>
        <v>167.9</v>
      </c>
      <c r="AL340">
        <f>Table1[[#This Row],[Health]]</f>
        <v>175.4</v>
      </c>
      <c r="AM340">
        <v>161.1</v>
      </c>
      <c r="AN340">
        <f>AVERAGE(Table1[[#This Row],[Education]],Table1[[#This Row],[Recreation and amusement]])</f>
        <v>167.4</v>
      </c>
      <c r="AO340">
        <f>Table1[[#This Row],[Miscellaneous]]</f>
        <v>167.5</v>
      </c>
      <c r="AP340" t="str">
        <f t="shared" si="13"/>
        <v>Post-COVID</v>
      </c>
    </row>
    <row r="341" spans="1:42" x14ac:dyDescent="0.25">
      <c r="A341" t="s">
        <v>30</v>
      </c>
      <c r="B341">
        <v>2022</v>
      </c>
      <c r="C341" t="s">
        <v>40</v>
      </c>
      <c r="D341" s="3">
        <f>DATE(B341,MATCH(C341,{"January","February","March","April","May","June","July","August","September","October","November","December"},0),1)</f>
        <v>44743</v>
      </c>
      <c r="E341">
        <v>155.19999999999999</v>
      </c>
      <c r="F341">
        <v>210.8</v>
      </c>
      <c r="G341">
        <v>174.3</v>
      </c>
      <c r="H341">
        <v>166.3</v>
      </c>
      <c r="I341">
        <v>202.2</v>
      </c>
      <c r="J341">
        <v>169.6</v>
      </c>
      <c r="K341">
        <v>168.6</v>
      </c>
      <c r="L341">
        <v>164.4</v>
      </c>
      <c r="M341">
        <v>119.2</v>
      </c>
      <c r="N341">
        <v>191.8</v>
      </c>
      <c r="O341">
        <v>174.5</v>
      </c>
      <c r="P341">
        <v>183.1</v>
      </c>
      <c r="Q341">
        <v>172.5</v>
      </c>
      <c r="R341">
        <v>193.2</v>
      </c>
      <c r="S341">
        <v>182</v>
      </c>
      <c r="T341">
        <v>180.3</v>
      </c>
      <c r="U341">
        <v>181.7</v>
      </c>
      <c r="V341">
        <v>167.8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  <c r="AF341">
        <f t="shared" si="12"/>
        <v>173.26923076923077</v>
      </c>
      <c r="AG341">
        <v>193.2</v>
      </c>
      <c r="AH341">
        <f>Table1[[#This Row],[Clothing and footwear]]</f>
        <v>181.7</v>
      </c>
      <c r="AI341">
        <v>167.8</v>
      </c>
      <c r="AJ341">
        <v>179.6</v>
      </c>
      <c r="AK341">
        <f>AVERAGE(Table1[[#This Row],[Household goods and services]],Table1[[#This Row],[Personal care and effects]])</f>
        <v>170.5</v>
      </c>
      <c r="AL341">
        <f>Table1[[#This Row],[Health]]</f>
        <v>178.8</v>
      </c>
      <c r="AM341">
        <v>166.3</v>
      </c>
      <c r="AN341">
        <f>AVERAGE(Table1[[#This Row],[Education]],Table1[[#This Row],[Recreation and amusement]])</f>
        <v>171.64999999999998</v>
      </c>
      <c r="AO341">
        <f>Table1[[#This Row],[Miscellaneous]]</f>
        <v>171.8</v>
      </c>
      <c r="AP341" t="str">
        <f t="shared" si="13"/>
        <v>Post-COVID</v>
      </c>
    </row>
    <row r="342" spans="1:42" x14ac:dyDescent="0.25">
      <c r="A342" t="s">
        <v>33</v>
      </c>
      <c r="B342">
        <v>2022</v>
      </c>
      <c r="C342" t="s">
        <v>40</v>
      </c>
      <c r="D342" s="3">
        <f>DATE(B342,MATCH(C342,{"January","February","March","April","May","June","July","August","September","October","November","December"},0),1)</f>
        <v>44743</v>
      </c>
      <c r="E342">
        <v>159.30000000000001</v>
      </c>
      <c r="F342">
        <v>217.1</v>
      </c>
      <c r="G342">
        <v>176.6</v>
      </c>
      <c r="H342">
        <v>167.1</v>
      </c>
      <c r="I342">
        <v>184.8</v>
      </c>
      <c r="J342">
        <v>179.5</v>
      </c>
      <c r="K342">
        <v>208.5</v>
      </c>
      <c r="L342">
        <v>164</v>
      </c>
      <c r="M342">
        <v>121.5</v>
      </c>
      <c r="N342">
        <v>186.3</v>
      </c>
      <c r="O342">
        <v>159.80000000000001</v>
      </c>
      <c r="P342">
        <v>187.7</v>
      </c>
      <c r="Q342">
        <v>179.4</v>
      </c>
      <c r="R342">
        <v>198.6</v>
      </c>
      <c r="S342">
        <v>172.7</v>
      </c>
      <c r="T342">
        <v>158.69999999999999</v>
      </c>
      <c r="U342">
        <v>170.6</v>
      </c>
      <c r="V342">
        <v>167.8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  <c r="AF342">
        <f t="shared" si="12"/>
        <v>176.27692307692308</v>
      </c>
      <c r="AG342">
        <v>198.6</v>
      </c>
      <c r="AH342">
        <f>Table1[[#This Row],[Clothing and footwear]]</f>
        <v>170.6</v>
      </c>
      <c r="AI342">
        <v>167.8</v>
      </c>
      <c r="AJ342">
        <v>179.5</v>
      </c>
      <c r="AK342">
        <f>AVERAGE(Table1[[#This Row],[Household goods and services]],Table1[[#This Row],[Personal care and effects]])</f>
        <v>166.45</v>
      </c>
      <c r="AL342">
        <f>Table1[[#This Row],[Health]]</f>
        <v>171.7</v>
      </c>
      <c r="AM342">
        <v>157.4</v>
      </c>
      <c r="AN342">
        <f>AVERAGE(Table1[[#This Row],[Education]],Table1[[#This Row],[Recreation and amusement]])</f>
        <v>166.85</v>
      </c>
      <c r="AO342">
        <f>Table1[[#This Row],[Miscellaneous]]</f>
        <v>164.7</v>
      </c>
      <c r="AP342" t="str">
        <f t="shared" si="13"/>
        <v>Post-COVID</v>
      </c>
    </row>
    <row r="343" spans="1:42" x14ac:dyDescent="0.25">
      <c r="A343" t="s">
        <v>34</v>
      </c>
      <c r="B343">
        <v>2022</v>
      </c>
      <c r="C343" t="s">
        <v>40</v>
      </c>
      <c r="D343" s="3">
        <f>DATE(B343,MATCH(C343,{"January","February","March","April","May","June","July","August","September","October","November","December"},0),1)</f>
        <v>44743</v>
      </c>
      <c r="E343">
        <v>156.5</v>
      </c>
      <c r="F343">
        <v>213</v>
      </c>
      <c r="G343">
        <v>175.2</v>
      </c>
      <c r="H343">
        <v>166.6</v>
      </c>
      <c r="I343">
        <v>195.8</v>
      </c>
      <c r="J343">
        <v>174.2</v>
      </c>
      <c r="K343">
        <v>182.1</v>
      </c>
      <c r="L343">
        <v>164.3</v>
      </c>
      <c r="M343">
        <v>120</v>
      </c>
      <c r="N343">
        <v>190</v>
      </c>
      <c r="O343">
        <v>168.4</v>
      </c>
      <c r="P343">
        <v>185.2</v>
      </c>
      <c r="Q343">
        <v>175</v>
      </c>
      <c r="R343">
        <v>194.6</v>
      </c>
      <c r="S343">
        <v>178.3</v>
      </c>
      <c r="T343">
        <v>171.3</v>
      </c>
      <c r="U343">
        <v>177.3</v>
      </c>
      <c r="V343">
        <v>167.8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  <c r="AF343">
        <f t="shared" si="12"/>
        <v>174.33076923076925</v>
      </c>
      <c r="AG343">
        <v>194.6</v>
      </c>
      <c r="AH343">
        <f>Table1[[#This Row],[Clothing and footwear]]</f>
        <v>177.3</v>
      </c>
      <c r="AI343">
        <v>167.8</v>
      </c>
      <c r="AJ343">
        <v>179.6</v>
      </c>
      <c r="AK343">
        <f>AVERAGE(Table1[[#This Row],[Household goods and services]],Table1[[#This Row],[Personal care and effects]])</f>
        <v>168.55</v>
      </c>
      <c r="AL343">
        <f>Table1[[#This Row],[Health]]</f>
        <v>176.1</v>
      </c>
      <c r="AM343">
        <v>161.6</v>
      </c>
      <c r="AN343">
        <f>AVERAGE(Table1[[#This Row],[Education]],Table1[[#This Row],[Recreation and amusement]])</f>
        <v>168.85000000000002</v>
      </c>
      <c r="AO343">
        <f>Table1[[#This Row],[Miscellaneous]]</f>
        <v>168.4</v>
      </c>
      <c r="AP343" t="str">
        <f t="shared" si="13"/>
        <v>Post-COVID</v>
      </c>
    </row>
    <row r="344" spans="1:42" x14ac:dyDescent="0.25">
      <c r="A344" t="s">
        <v>30</v>
      </c>
      <c r="B344">
        <v>2022</v>
      </c>
      <c r="C344" t="s">
        <v>41</v>
      </c>
      <c r="D344" s="3">
        <f>DATE(B344,MATCH(C344,{"January","February","March","April","May","June","July","August","September","October","November","December"},0),1)</f>
        <v>44774</v>
      </c>
      <c r="E344">
        <v>159.5</v>
      </c>
      <c r="F344">
        <v>204.1</v>
      </c>
      <c r="G344">
        <v>168.3</v>
      </c>
      <c r="H344">
        <v>167.9</v>
      </c>
      <c r="I344">
        <v>198.1</v>
      </c>
      <c r="J344">
        <v>169.2</v>
      </c>
      <c r="K344">
        <v>173.1</v>
      </c>
      <c r="L344">
        <v>167.1</v>
      </c>
      <c r="M344">
        <v>120.2</v>
      </c>
      <c r="N344">
        <v>195.6</v>
      </c>
      <c r="O344">
        <v>174.8</v>
      </c>
      <c r="P344">
        <v>184</v>
      </c>
      <c r="Q344">
        <v>173.9</v>
      </c>
      <c r="R344">
        <v>193.7</v>
      </c>
      <c r="S344">
        <v>183.2</v>
      </c>
      <c r="T344">
        <v>181.7</v>
      </c>
      <c r="U344">
        <v>183</v>
      </c>
      <c r="V344">
        <v>169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  <c r="AF344">
        <f t="shared" si="12"/>
        <v>173.5230769230769</v>
      </c>
      <c r="AG344">
        <v>193.7</v>
      </c>
      <c r="AH344">
        <f>Table1[[#This Row],[Clothing and footwear]]</f>
        <v>183</v>
      </c>
      <c r="AI344">
        <v>169</v>
      </c>
      <c r="AJ344">
        <v>179.1</v>
      </c>
      <c r="AK344">
        <f>AVERAGE(Table1[[#This Row],[Household goods and services]],Table1[[#This Row],[Personal care and effects]])</f>
        <v>171.7</v>
      </c>
      <c r="AL344">
        <f>Table1[[#This Row],[Health]]</f>
        <v>179.4</v>
      </c>
      <c r="AM344">
        <v>166.6</v>
      </c>
      <c r="AN344">
        <f>AVERAGE(Table1[[#This Row],[Education]],Table1[[#This Row],[Recreation and amusement]])</f>
        <v>172.5</v>
      </c>
      <c r="AO344">
        <f>Table1[[#This Row],[Miscellaneous]]</f>
        <v>172.6</v>
      </c>
      <c r="AP344" t="str">
        <f t="shared" si="13"/>
        <v>Post-COVID</v>
      </c>
    </row>
    <row r="345" spans="1:42" x14ac:dyDescent="0.25">
      <c r="A345" t="s">
        <v>33</v>
      </c>
      <c r="B345">
        <v>2022</v>
      </c>
      <c r="C345" t="s">
        <v>41</v>
      </c>
      <c r="D345" s="3">
        <f>DATE(B345,MATCH(C345,{"January","February","March","April","May","June","July","August","September","October","November","December"},0),1)</f>
        <v>44774</v>
      </c>
      <c r="E345">
        <v>162.1</v>
      </c>
      <c r="F345">
        <v>210.9</v>
      </c>
      <c r="G345">
        <v>170.6</v>
      </c>
      <c r="H345">
        <v>168.4</v>
      </c>
      <c r="I345">
        <v>182.5</v>
      </c>
      <c r="J345">
        <v>177.1</v>
      </c>
      <c r="K345">
        <v>213.1</v>
      </c>
      <c r="L345">
        <v>167.3</v>
      </c>
      <c r="M345">
        <v>122.2</v>
      </c>
      <c r="N345">
        <v>189.7</v>
      </c>
      <c r="O345">
        <v>160.5</v>
      </c>
      <c r="P345">
        <v>188.9</v>
      </c>
      <c r="Q345">
        <v>180.4</v>
      </c>
      <c r="R345">
        <v>198.7</v>
      </c>
      <c r="S345">
        <v>173.7</v>
      </c>
      <c r="T345">
        <v>160</v>
      </c>
      <c r="U345">
        <v>171.6</v>
      </c>
      <c r="V345">
        <v>169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  <c r="AF345">
        <f t="shared" si="12"/>
        <v>176.43846153846152</v>
      </c>
      <c r="AG345">
        <v>198.7</v>
      </c>
      <c r="AH345">
        <f>Table1[[#This Row],[Clothing and footwear]]</f>
        <v>171.6</v>
      </c>
      <c r="AI345">
        <v>169</v>
      </c>
      <c r="AJ345">
        <v>178.4</v>
      </c>
      <c r="AK345">
        <f>AVERAGE(Table1[[#This Row],[Household goods and services]],Table1[[#This Row],[Personal care and effects]])</f>
        <v>167.8</v>
      </c>
      <c r="AL345">
        <f>Table1[[#This Row],[Health]]</f>
        <v>172.6</v>
      </c>
      <c r="AM345">
        <v>157.69999999999999</v>
      </c>
      <c r="AN345">
        <f>AVERAGE(Table1[[#This Row],[Education]],Table1[[#This Row],[Recreation and amusement]])</f>
        <v>167.5</v>
      </c>
      <c r="AO345">
        <f>Table1[[#This Row],[Miscellaneous]]</f>
        <v>165.4</v>
      </c>
      <c r="AP345" t="str">
        <f t="shared" si="13"/>
        <v>Post-COVID</v>
      </c>
    </row>
    <row r="346" spans="1:42" x14ac:dyDescent="0.25">
      <c r="A346" t="s">
        <v>34</v>
      </c>
      <c r="B346">
        <v>2022</v>
      </c>
      <c r="C346" t="s">
        <v>41</v>
      </c>
      <c r="D346" s="3">
        <f>DATE(B346,MATCH(C346,{"January","February","March","April","May","June","July","August","September","October","November","December"},0),1)</f>
        <v>44774</v>
      </c>
      <c r="E346">
        <v>160.30000000000001</v>
      </c>
      <c r="F346">
        <v>206.5</v>
      </c>
      <c r="G346">
        <v>169.2</v>
      </c>
      <c r="H346">
        <v>168.1</v>
      </c>
      <c r="I346">
        <v>192.4</v>
      </c>
      <c r="J346">
        <v>172.9</v>
      </c>
      <c r="K346">
        <v>186.7</v>
      </c>
      <c r="L346">
        <v>167.2</v>
      </c>
      <c r="M346">
        <v>120.9</v>
      </c>
      <c r="N346">
        <v>193.6</v>
      </c>
      <c r="O346">
        <v>168.8</v>
      </c>
      <c r="P346">
        <v>186.3</v>
      </c>
      <c r="Q346">
        <v>176.3</v>
      </c>
      <c r="R346">
        <v>195</v>
      </c>
      <c r="S346">
        <v>179.5</v>
      </c>
      <c r="T346">
        <v>172.7</v>
      </c>
      <c r="U346">
        <v>178.5</v>
      </c>
      <c r="V346">
        <v>169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  <c r="AF346">
        <f t="shared" si="12"/>
        <v>174.55384615384617</v>
      </c>
      <c r="AG346">
        <v>195</v>
      </c>
      <c r="AH346">
        <f>Table1[[#This Row],[Clothing and footwear]]</f>
        <v>178.5</v>
      </c>
      <c r="AI346">
        <v>169</v>
      </c>
      <c r="AJ346">
        <v>178.8</v>
      </c>
      <c r="AK346">
        <f>AVERAGE(Table1[[#This Row],[Household goods and services]],Table1[[#This Row],[Personal care and effects]])</f>
        <v>169.85</v>
      </c>
      <c r="AL346">
        <f>Table1[[#This Row],[Health]]</f>
        <v>176.8</v>
      </c>
      <c r="AM346">
        <v>161.9</v>
      </c>
      <c r="AN346">
        <f>AVERAGE(Table1[[#This Row],[Education]],Table1[[#This Row],[Recreation and amusement]])</f>
        <v>169.60000000000002</v>
      </c>
      <c r="AO346">
        <f>Table1[[#This Row],[Miscellaneous]]</f>
        <v>169.1</v>
      </c>
      <c r="AP346" t="str">
        <f t="shared" si="13"/>
        <v>Post-COVID</v>
      </c>
    </row>
    <row r="347" spans="1:42" x14ac:dyDescent="0.25">
      <c r="A347" t="s">
        <v>30</v>
      </c>
      <c r="B347">
        <v>2022</v>
      </c>
      <c r="C347" t="s">
        <v>42</v>
      </c>
      <c r="D347" s="3">
        <f>DATE(B347,MATCH(C347,{"January","February","March","April","May","June","July","August","September","October","November","December"},0),1)</f>
        <v>44805</v>
      </c>
      <c r="E347">
        <v>162.9</v>
      </c>
      <c r="F347">
        <v>206.7</v>
      </c>
      <c r="G347">
        <v>169</v>
      </c>
      <c r="H347">
        <v>169.5</v>
      </c>
      <c r="I347">
        <v>194.1</v>
      </c>
      <c r="J347">
        <v>164.1</v>
      </c>
      <c r="K347">
        <v>176.9</v>
      </c>
      <c r="L347">
        <v>169</v>
      </c>
      <c r="M347">
        <v>120.8</v>
      </c>
      <c r="N347">
        <v>199.1</v>
      </c>
      <c r="O347">
        <v>175.4</v>
      </c>
      <c r="P347">
        <v>184.8</v>
      </c>
      <c r="Q347">
        <v>175.5</v>
      </c>
      <c r="R347">
        <v>194.5</v>
      </c>
      <c r="S347">
        <v>184.7</v>
      </c>
      <c r="T347">
        <v>183.3</v>
      </c>
      <c r="U347">
        <v>184.5</v>
      </c>
      <c r="V347">
        <v>169.5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  <c r="AF347">
        <f t="shared" si="12"/>
        <v>174.44615384615386</v>
      </c>
      <c r="AG347">
        <v>194.5</v>
      </c>
      <c r="AH347">
        <f>Table1[[#This Row],[Clothing and footwear]]</f>
        <v>184.5</v>
      </c>
      <c r="AI347">
        <v>169.5</v>
      </c>
      <c r="AJ347">
        <v>179.7</v>
      </c>
      <c r="AK347">
        <f>AVERAGE(Table1[[#This Row],[Household goods and services]],Table1[[#This Row],[Personal care and effects]])</f>
        <v>172.2</v>
      </c>
      <c r="AL347">
        <f>Table1[[#This Row],[Health]]</f>
        <v>180.2</v>
      </c>
      <c r="AM347">
        <v>166.9</v>
      </c>
      <c r="AN347">
        <f>AVERAGE(Table1[[#This Row],[Education]],Table1[[#This Row],[Recreation and amusement]])</f>
        <v>173.1</v>
      </c>
      <c r="AO347">
        <f>Table1[[#This Row],[Miscellaneous]]</f>
        <v>173.1</v>
      </c>
      <c r="AP347" t="str">
        <f t="shared" si="13"/>
        <v>Post-COVID</v>
      </c>
    </row>
    <row r="348" spans="1:42" x14ac:dyDescent="0.25">
      <c r="A348" t="s">
        <v>33</v>
      </c>
      <c r="B348">
        <v>2022</v>
      </c>
      <c r="C348" t="s">
        <v>42</v>
      </c>
      <c r="D348" s="3">
        <f>DATE(B348,MATCH(C348,{"January","February","March","April","May","June","July","August","September","October","November","December"},0),1)</f>
        <v>44805</v>
      </c>
      <c r="E348">
        <v>164.9</v>
      </c>
      <c r="F348">
        <v>213.7</v>
      </c>
      <c r="G348">
        <v>170.9</v>
      </c>
      <c r="H348">
        <v>170.1</v>
      </c>
      <c r="I348">
        <v>179.3</v>
      </c>
      <c r="J348">
        <v>167.5</v>
      </c>
      <c r="K348">
        <v>220.8</v>
      </c>
      <c r="L348">
        <v>169.2</v>
      </c>
      <c r="M348">
        <v>123.1</v>
      </c>
      <c r="N348">
        <v>193.6</v>
      </c>
      <c r="O348">
        <v>161.1</v>
      </c>
      <c r="P348">
        <v>190.4</v>
      </c>
      <c r="Q348">
        <v>181.8</v>
      </c>
      <c r="R348">
        <v>199.7</v>
      </c>
      <c r="S348">
        <v>175</v>
      </c>
      <c r="T348">
        <v>161.69999999999999</v>
      </c>
      <c r="U348">
        <v>173</v>
      </c>
      <c r="V348">
        <v>169.5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  <c r="AF348">
        <f t="shared" si="12"/>
        <v>177.41538461538462</v>
      </c>
      <c r="AG348">
        <v>199.7</v>
      </c>
      <c r="AH348">
        <f>Table1[[#This Row],[Clothing and footwear]]</f>
        <v>173</v>
      </c>
      <c r="AI348">
        <v>169.5</v>
      </c>
      <c r="AJ348">
        <v>179.2</v>
      </c>
      <c r="AK348">
        <f>AVERAGE(Table1[[#This Row],[Household goods and services]],Table1[[#This Row],[Personal care and effects]])</f>
        <v>168.05</v>
      </c>
      <c r="AL348">
        <f>Table1[[#This Row],[Health]]</f>
        <v>173.8</v>
      </c>
      <c r="AM348">
        <v>158.19999999999999</v>
      </c>
      <c r="AN348">
        <f>AVERAGE(Table1[[#This Row],[Education]],Table1[[#This Row],[Recreation and amusement]])</f>
        <v>168.35000000000002</v>
      </c>
      <c r="AO348">
        <f>Table1[[#This Row],[Miscellaneous]]</f>
        <v>166.1</v>
      </c>
      <c r="AP348" t="str">
        <f t="shared" si="13"/>
        <v>Post-COVID</v>
      </c>
    </row>
    <row r="349" spans="1:42" x14ac:dyDescent="0.25">
      <c r="A349" t="s">
        <v>34</v>
      </c>
      <c r="B349">
        <v>2022</v>
      </c>
      <c r="C349" t="s">
        <v>42</v>
      </c>
      <c r="D349" s="3">
        <f>DATE(B349,MATCH(C349,{"January","February","March","April","May","June","July","August","September","October","November","December"},0),1)</f>
        <v>44805</v>
      </c>
      <c r="E349">
        <v>163.5</v>
      </c>
      <c r="F349">
        <v>209.2</v>
      </c>
      <c r="G349">
        <v>169.7</v>
      </c>
      <c r="H349">
        <v>169.7</v>
      </c>
      <c r="I349">
        <v>188.7</v>
      </c>
      <c r="J349">
        <v>165.7</v>
      </c>
      <c r="K349">
        <v>191.8</v>
      </c>
      <c r="L349">
        <v>169.1</v>
      </c>
      <c r="M349">
        <v>121.6</v>
      </c>
      <c r="N349">
        <v>197.3</v>
      </c>
      <c r="O349">
        <v>169.4</v>
      </c>
      <c r="P349">
        <v>187.4</v>
      </c>
      <c r="Q349">
        <v>177.8</v>
      </c>
      <c r="R349">
        <v>195.9</v>
      </c>
      <c r="S349">
        <v>180.9</v>
      </c>
      <c r="T349">
        <v>174.3</v>
      </c>
      <c r="U349">
        <v>179.9</v>
      </c>
      <c r="V349">
        <v>169.5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  <c r="AF349">
        <f t="shared" si="12"/>
        <v>175.45384615384617</v>
      </c>
      <c r="AG349">
        <v>195.9</v>
      </c>
      <c r="AH349">
        <f>Table1[[#This Row],[Clothing and footwear]]</f>
        <v>179.9</v>
      </c>
      <c r="AI349">
        <v>169.5</v>
      </c>
      <c r="AJ349">
        <v>179.5</v>
      </c>
      <c r="AK349">
        <f>AVERAGE(Table1[[#This Row],[Household goods and services]],Table1[[#This Row],[Personal care and effects]])</f>
        <v>170.2</v>
      </c>
      <c r="AL349">
        <f>Table1[[#This Row],[Health]]</f>
        <v>177.8</v>
      </c>
      <c r="AM349">
        <v>162.30000000000001</v>
      </c>
      <c r="AN349">
        <f>AVERAGE(Table1[[#This Row],[Education]],Table1[[#This Row],[Recreation and amusement]])</f>
        <v>170.35</v>
      </c>
      <c r="AO349">
        <f>Table1[[#This Row],[Miscellaneous]]</f>
        <v>169.7</v>
      </c>
      <c r="AP349" t="str">
        <f t="shared" si="13"/>
        <v>Post-COVID</v>
      </c>
    </row>
    <row r="350" spans="1:42" x14ac:dyDescent="0.25">
      <c r="A350" t="s">
        <v>30</v>
      </c>
      <c r="B350">
        <v>2022</v>
      </c>
      <c r="C350" t="s">
        <v>43</v>
      </c>
      <c r="D350" s="3">
        <f>DATE(B350,MATCH(C350,{"January","February","March","April","May","June","July","August","September","October","November","December"},0),1)</f>
        <v>44835</v>
      </c>
      <c r="E350">
        <v>164.7</v>
      </c>
      <c r="F350">
        <v>208.8</v>
      </c>
      <c r="G350">
        <v>170.3</v>
      </c>
      <c r="H350">
        <v>170.9</v>
      </c>
      <c r="I350">
        <v>191.6</v>
      </c>
      <c r="J350">
        <v>162.19999999999999</v>
      </c>
      <c r="K350">
        <v>184.8</v>
      </c>
      <c r="L350">
        <v>169.7</v>
      </c>
      <c r="M350">
        <v>121.1</v>
      </c>
      <c r="N350">
        <v>201.6</v>
      </c>
      <c r="O350">
        <v>175.8</v>
      </c>
      <c r="P350">
        <v>185.6</v>
      </c>
      <c r="Q350">
        <v>177.4</v>
      </c>
      <c r="R350">
        <v>194.9</v>
      </c>
      <c r="S350">
        <v>186.1</v>
      </c>
      <c r="T350">
        <v>184.4</v>
      </c>
      <c r="U350">
        <v>185.9</v>
      </c>
      <c r="V350">
        <v>171.2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  <c r="AF350">
        <f t="shared" si="12"/>
        <v>175.73076923076923</v>
      </c>
      <c r="AG350">
        <v>194.9</v>
      </c>
      <c r="AH350">
        <f>Table1[[#This Row],[Clothing and footwear]]</f>
        <v>185.9</v>
      </c>
      <c r="AI350">
        <v>171.2</v>
      </c>
      <c r="AJ350">
        <v>180.8</v>
      </c>
      <c r="AK350">
        <f>AVERAGE(Table1[[#This Row],[Household goods and services]],Table1[[#This Row],[Personal care and effects]])</f>
        <v>173.2</v>
      </c>
      <c r="AL350">
        <f>Table1[[#This Row],[Health]]</f>
        <v>181.2</v>
      </c>
      <c r="AM350">
        <v>167.4</v>
      </c>
      <c r="AN350">
        <f>AVERAGE(Table1[[#This Row],[Education]],Table1[[#This Row],[Recreation and amusement]])</f>
        <v>173.55</v>
      </c>
      <c r="AO350">
        <f>Table1[[#This Row],[Miscellaneous]]</f>
        <v>173.9</v>
      </c>
      <c r="AP350" t="str">
        <f t="shared" si="13"/>
        <v>Post-COVID</v>
      </c>
    </row>
    <row r="351" spans="1:42" x14ac:dyDescent="0.25">
      <c r="A351" t="s">
        <v>33</v>
      </c>
      <c r="B351">
        <v>2022</v>
      </c>
      <c r="C351" t="s">
        <v>43</v>
      </c>
      <c r="D351" s="3">
        <f>DATE(B351,MATCH(C351,{"January","February","March","April","May","June","July","August","September","October","November","December"},0),1)</f>
        <v>44835</v>
      </c>
      <c r="E351">
        <v>166.4</v>
      </c>
      <c r="F351">
        <v>214.9</v>
      </c>
      <c r="G351">
        <v>171.9</v>
      </c>
      <c r="H351">
        <v>171</v>
      </c>
      <c r="I351">
        <v>177.7</v>
      </c>
      <c r="J351">
        <v>165.7</v>
      </c>
      <c r="K351">
        <v>228.6</v>
      </c>
      <c r="L351">
        <v>169.9</v>
      </c>
      <c r="M351">
        <v>123.4</v>
      </c>
      <c r="N351">
        <v>196.4</v>
      </c>
      <c r="O351">
        <v>161.6</v>
      </c>
      <c r="P351">
        <v>191.5</v>
      </c>
      <c r="Q351">
        <v>183.3</v>
      </c>
      <c r="R351">
        <v>200.1</v>
      </c>
      <c r="S351">
        <v>175.5</v>
      </c>
      <c r="T351">
        <v>162.6</v>
      </c>
      <c r="U351">
        <v>173.6</v>
      </c>
      <c r="V351">
        <v>171.2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  <c r="AF351">
        <f t="shared" si="12"/>
        <v>178.63846153846154</v>
      </c>
      <c r="AG351">
        <v>200.1</v>
      </c>
      <c r="AH351">
        <f>Table1[[#This Row],[Clothing and footwear]]</f>
        <v>173.6</v>
      </c>
      <c r="AI351">
        <v>171.2</v>
      </c>
      <c r="AJ351">
        <v>180</v>
      </c>
      <c r="AK351">
        <f>AVERAGE(Table1[[#This Row],[Household goods and services]],Table1[[#This Row],[Personal care and effects]])</f>
        <v>169.15</v>
      </c>
      <c r="AL351">
        <f>Table1[[#This Row],[Health]]</f>
        <v>174.7</v>
      </c>
      <c r="AM351">
        <v>158.80000000000001</v>
      </c>
      <c r="AN351">
        <f>AVERAGE(Table1[[#This Row],[Education]],Table1[[#This Row],[Recreation and amusement]])</f>
        <v>168.75</v>
      </c>
      <c r="AO351">
        <f>Table1[[#This Row],[Miscellaneous]]</f>
        <v>166.8</v>
      </c>
      <c r="AP351" t="str">
        <f t="shared" si="13"/>
        <v>Post-COVID</v>
      </c>
    </row>
    <row r="352" spans="1:42" x14ac:dyDescent="0.25">
      <c r="A352" t="s">
        <v>34</v>
      </c>
      <c r="B352">
        <v>2022</v>
      </c>
      <c r="C352" t="s">
        <v>43</v>
      </c>
      <c r="D352" s="3">
        <f>DATE(B352,MATCH(C352,{"January","February","March","April","May","June","July","August","September","October","November","December"},0),1)</f>
        <v>44835</v>
      </c>
      <c r="E352">
        <v>165.2</v>
      </c>
      <c r="F352">
        <v>210.9</v>
      </c>
      <c r="G352">
        <v>170.9</v>
      </c>
      <c r="H352">
        <v>170.9</v>
      </c>
      <c r="I352">
        <v>186.5</v>
      </c>
      <c r="J352">
        <v>163.80000000000001</v>
      </c>
      <c r="K352">
        <v>199.7</v>
      </c>
      <c r="L352">
        <v>169.8</v>
      </c>
      <c r="M352">
        <v>121.9</v>
      </c>
      <c r="N352">
        <v>199.9</v>
      </c>
      <c r="O352">
        <v>169.9</v>
      </c>
      <c r="P352">
        <v>188.3</v>
      </c>
      <c r="Q352">
        <v>179.6</v>
      </c>
      <c r="R352">
        <v>196.3</v>
      </c>
      <c r="S352">
        <v>181.9</v>
      </c>
      <c r="T352">
        <v>175.3</v>
      </c>
      <c r="U352">
        <v>181</v>
      </c>
      <c r="V352">
        <v>171.2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  <c r="AF352">
        <f t="shared" si="12"/>
        <v>176.71538461538464</v>
      </c>
      <c r="AG352">
        <v>196.3</v>
      </c>
      <c r="AH352">
        <f>Table1[[#This Row],[Clothing and footwear]]</f>
        <v>181</v>
      </c>
      <c r="AI352">
        <v>171.2</v>
      </c>
      <c r="AJ352">
        <v>180.5</v>
      </c>
      <c r="AK352">
        <f>AVERAGE(Table1[[#This Row],[Household goods and services]],Table1[[#This Row],[Personal care and effects]])</f>
        <v>171.25</v>
      </c>
      <c r="AL352">
        <f>Table1[[#This Row],[Health]]</f>
        <v>178.7</v>
      </c>
      <c r="AM352">
        <v>162.9</v>
      </c>
      <c r="AN352">
        <f>AVERAGE(Table1[[#This Row],[Education]],Table1[[#This Row],[Recreation and amusement]])</f>
        <v>170.8</v>
      </c>
      <c r="AO352">
        <f>Table1[[#This Row],[Miscellaneous]]</f>
        <v>170.5</v>
      </c>
      <c r="AP352" t="str">
        <f t="shared" si="13"/>
        <v>Post-COVID</v>
      </c>
    </row>
    <row r="353" spans="1:42" x14ac:dyDescent="0.25">
      <c r="A353" t="s">
        <v>30</v>
      </c>
      <c r="B353">
        <v>2022</v>
      </c>
      <c r="C353" t="s">
        <v>45</v>
      </c>
      <c r="D353" s="3">
        <f>DATE(B353,MATCH(C353,{"January","February","March","April","May","June","July","August","September","October","November","December"},0),1)</f>
        <v>44866</v>
      </c>
      <c r="E353">
        <v>166.9</v>
      </c>
      <c r="F353">
        <v>207.2</v>
      </c>
      <c r="G353">
        <v>180.2</v>
      </c>
      <c r="H353">
        <v>172.3</v>
      </c>
      <c r="I353">
        <v>194</v>
      </c>
      <c r="J353">
        <v>159.1</v>
      </c>
      <c r="K353">
        <v>171.6</v>
      </c>
      <c r="L353">
        <v>170.2</v>
      </c>
      <c r="M353">
        <v>121.5</v>
      </c>
      <c r="N353">
        <v>204.8</v>
      </c>
      <c r="O353">
        <v>176.4</v>
      </c>
      <c r="P353">
        <v>186.9</v>
      </c>
      <c r="Q353">
        <v>176.6</v>
      </c>
      <c r="R353">
        <v>195.5</v>
      </c>
      <c r="S353">
        <v>187.2</v>
      </c>
      <c r="T353">
        <v>185.2</v>
      </c>
      <c r="U353">
        <v>186.9</v>
      </c>
      <c r="V353">
        <v>171.8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  <c r="AF353">
        <f t="shared" si="12"/>
        <v>175.97692307692307</v>
      </c>
      <c r="AG353">
        <v>195.5</v>
      </c>
      <c r="AH353">
        <f>Table1[[#This Row],[Clothing and footwear]]</f>
        <v>186.9</v>
      </c>
      <c r="AI353">
        <v>171.8</v>
      </c>
      <c r="AJ353">
        <v>181.9</v>
      </c>
      <c r="AK353">
        <f>AVERAGE(Table1[[#This Row],[Household goods and services]],Table1[[#This Row],[Personal care and effects]])</f>
        <v>174.45</v>
      </c>
      <c r="AL353">
        <f>Table1[[#This Row],[Health]]</f>
        <v>182.3</v>
      </c>
      <c r="AM353">
        <v>167.5</v>
      </c>
      <c r="AN353">
        <f>AVERAGE(Table1[[#This Row],[Education]],Table1[[#This Row],[Recreation and amusement]])</f>
        <v>173.85000000000002</v>
      </c>
      <c r="AO353">
        <f>Table1[[#This Row],[Miscellaneous]]</f>
        <v>174.6</v>
      </c>
      <c r="AP353" t="str">
        <f t="shared" si="13"/>
        <v>Post-COVID</v>
      </c>
    </row>
    <row r="354" spans="1:42" x14ac:dyDescent="0.25">
      <c r="A354" t="s">
        <v>33</v>
      </c>
      <c r="B354">
        <v>2022</v>
      </c>
      <c r="C354" t="s">
        <v>45</v>
      </c>
      <c r="D354" s="3">
        <f>DATE(B354,MATCH(C354,{"January","February","March","April","May","June","July","August","September","October","November","December"},0),1)</f>
        <v>44866</v>
      </c>
      <c r="E354">
        <v>168.4</v>
      </c>
      <c r="F354">
        <v>213.4</v>
      </c>
      <c r="G354">
        <v>183.2</v>
      </c>
      <c r="H354">
        <v>172.3</v>
      </c>
      <c r="I354">
        <v>180</v>
      </c>
      <c r="J354">
        <v>162.6</v>
      </c>
      <c r="K354">
        <v>205.5</v>
      </c>
      <c r="L354">
        <v>171</v>
      </c>
      <c r="M354">
        <v>123.4</v>
      </c>
      <c r="N354">
        <v>198.8</v>
      </c>
      <c r="O354">
        <v>162.1</v>
      </c>
      <c r="P354">
        <v>192.4</v>
      </c>
      <c r="Q354">
        <v>181.3</v>
      </c>
      <c r="R354">
        <v>200.6</v>
      </c>
      <c r="S354">
        <v>176.7</v>
      </c>
      <c r="T354">
        <v>163.5</v>
      </c>
      <c r="U354">
        <v>174.7</v>
      </c>
      <c r="V354">
        <v>171.8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  <c r="AF354">
        <f t="shared" si="12"/>
        <v>178.03076923076924</v>
      </c>
      <c r="AG354">
        <v>200.6</v>
      </c>
      <c r="AH354">
        <f>Table1[[#This Row],[Clothing and footwear]]</f>
        <v>174.7</v>
      </c>
      <c r="AI354">
        <v>171.8</v>
      </c>
      <c r="AJ354">
        <v>180.3</v>
      </c>
      <c r="AK354">
        <f>AVERAGE(Table1[[#This Row],[Household goods and services]],Table1[[#This Row],[Personal care and effects]])</f>
        <v>170.35000000000002</v>
      </c>
      <c r="AL354">
        <f>Table1[[#This Row],[Health]]</f>
        <v>175.8</v>
      </c>
      <c r="AM354">
        <v>158.9</v>
      </c>
      <c r="AN354">
        <f>AVERAGE(Table1[[#This Row],[Education]],Table1[[#This Row],[Recreation and amusement]])</f>
        <v>169.1</v>
      </c>
      <c r="AO354">
        <f>Table1[[#This Row],[Miscellaneous]]</f>
        <v>167.4</v>
      </c>
      <c r="AP354" t="str">
        <f t="shared" si="13"/>
        <v>Post-COVID</v>
      </c>
    </row>
    <row r="355" spans="1:42" x14ac:dyDescent="0.25">
      <c r="A355" t="s">
        <v>34</v>
      </c>
      <c r="B355">
        <v>2022</v>
      </c>
      <c r="C355" t="s">
        <v>45</v>
      </c>
      <c r="D355" s="3">
        <f>DATE(B355,MATCH(C355,{"January","February","March","April","May","June","July","August","September","October","November","December"},0),1)</f>
        <v>44866</v>
      </c>
      <c r="E355">
        <v>167.4</v>
      </c>
      <c r="F355">
        <v>209.4</v>
      </c>
      <c r="G355">
        <v>181.4</v>
      </c>
      <c r="H355">
        <v>172.3</v>
      </c>
      <c r="I355">
        <v>188.9</v>
      </c>
      <c r="J355">
        <v>160.69999999999999</v>
      </c>
      <c r="K355">
        <v>183.1</v>
      </c>
      <c r="L355">
        <v>170.5</v>
      </c>
      <c r="M355">
        <v>122.1</v>
      </c>
      <c r="N355">
        <v>202.8</v>
      </c>
      <c r="O355">
        <v>170.4</v>
      </c>
      <c r="P355">
        <v>189.5</v>
      </c>
      <c r="Q355">
        <v>178.3</v>
      </c>
      <c r="R355">
        <v>196.9</v>
      </c>
      <c r="S355">
        <v>183.1</v>
      </c>
      <c r="T355">
        <v>176.2</v>
      </c>
      <c r="U355">
        <v>182.1</v>
      </c>
      <c r="V355">
        <v>171.8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  <c r="AF355">
        <f t="shared" si="12"/>
        <v>176.67692307692309</v>
      </c>
      <c r="AG355">
        <v>196.9</v>
      </c>
      <c r="AH355">
        <f>Table1[[#This Row],[Clothing and footwear]]</f>
        <v>182.1</v>
      </c>
      <c r="AI355">
        <v>171.8</v>
      </c>
      <c r="AJ355">
        <v>181.3</v>
      </c>
      <c r="AK355">
        <f>AVERAGE(Table1[[#This Row],[Household goods and services]],Table1[[#This Row],[Personal care and effects]])</f>
        <v>172.5</v>
      </c>
      <c r="AL355">
        <f>Table1[[#This Row],[Health]]</f>
        <v>179.8</v>
      </c>
      <c r="AM355">
        <v>163</v>
      </c>
      <c r="AN355">
        <f>AVERAGE(Table1[[#This Row],[Education]],Table1[[#This Row],[Recreation and amusement]])</f>
        <v>171.1</v>
      </c>
      <c r="AO355">
        <f>Table1[[#This Row],[Miscellaneous]]</f>
        <v>171.1</v>
      </c>
      <c r="AP355" t="str">
        <f t="shared" si="13"/>
        <v>Post-COVID</v>
      </c>
    </row>
    <row r="356" spans="1:42" x14ac:dyDescent="0.25">
      <c r="A356" t="s">
        <v>30</v>
      </c>
      <c r="B356">
        <v>2022</v>
      </c>
      <c r="C356" t="s">
        <v>46</v>
      </c>
      <c r="D356" s="3">
        <f>DATE(B356,MATCH(C356,{"January","February","March","April","May","June","July","August","September","October","November","December"},0),1)</f>
        <v>44896</v>
      </c>
      <c r="E356">
        <v>168.8</v>
      </c>
      <c r="F356">
        <v>206.9</v>
      </c>
      <c r="G356">
        <v>189.1</v>
      </c>
      <c r="H356">
        <v>173.4</v>
      </c>
      <c r="I356">
        <v>193.9</v>
      </c>
      <c r="J356">
        <v>156.69999999999999</v>
      </c>
      <c r="K356">
        <v>150.19999999999999</v>
      </c>
      <c r="L356">
        <v>170.5</v>
      </c>
      <c r="M356">
        <v>121.2</v>
      </c>
      <c r="N356">
        <v>207.5</v>
      </c>
      <c r="O356">
        <v>176.8</v>
      </c>
      <c r="P356">
        <v>187.7</v>
      </c>
      <c r="Q356">
        <v>174.4</v>
      </c>
      <c r="R356">
        <v>195.9</v>
      </c>
      <c r="S356">
        <v>188.1</v>
      </c>
      <c r="T356">
        <v>185.9</v>
      </c>
      <c r="U356">
        <v>187.8</v>
      </c>
      <c r="V356">
        <v>170.7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  <c r="AF356">
        <f t="shared" si="12"/>
        <v>175.16153846153844</v>
      </c>
      <c r="AG356">
        <v>195.9</v>
      </c>
      <c r="AH356">
        <f>Table1[[#This Row],[Clothing and footwear]]</f>
        <v>187.8</v>
      </c>
      <c r="AI356">
        <v>170.7</v>
      </c>
      <c r="AJ356">
        <v>182.8</v>
      </c>
      <c r="AK356">
        <f>AVERAGE(Table1[[#This Row],[Household goods and services]],Table1[[#This Row],[Personal care and effects]])</f>
        <v>176.05</v>
      </c>
      <c r="AL356">
        <f>Table1[[#This Row],[Health]]</f>
        <v>183.5</v>
      </c>
      <c r="AM356">
        <v>167.8</v>
      </c>
      <c r="AN356">
        <f>AVERAGE(Table1[[#This Row],[Education]],Table1[[#This Row],[Recreation and amusement]])</f>
        <v>174.25</v>
      </c>
      <c r="AO356">
        <f>Table1[[#This Row],[Miscellaneous]]</f>
        <v>175.5</v>
      </c>
      <c r="AP356" t="str">
        <f t="shared" si="13"/>
        <v>Post-COVID</v>
      </c>
    </row>
    <row r="357" spans="1:42" x14ac:dyDescent="0.25">
      <c r="A357" t="s">
        <v>33</v>
      </c>
      <c r="B357">
        <v>2022</v>
      </c>
      <c r="C357" t="s">
        <v>46</v>
      </c>
      <c r="D357" s="3">
        <f>DATE(B357,MATCH(C357,{"January","February","March","April","May","June","July","August","September","October","November","December"},0),1)</f>
        <v>44896</v>
      </c>
      <c r="E357">
        <v>170.2</v>
      </c>
      <c r="F357">
        <v>212.9</v>
      </c>
      <c r="G357">
        <v>191.9</v>
      </c>
      <c r="H357">
        <v>173.9</v>
      </c>
      <c r="I357">
        <v>179.1</v>
      </c>
      <c r="J357">
        <v>159.5</v>
      </c>
      <c r="K357">
        <v>178.7</v>
      </c>
      <c r="L357">
        <v>171.3</v>
      </c>
      <c r="M357">
        <v>123.1</v>
      </c>
      <c r="N357">
        <v>200.5</v>
      </c>
      <c r="O357">
        <v>162.80000000000001</v>
      </c>
      <c r="P357">
        <v>193.3</v>
      </c>
      <c r="Q357">
        <v>178.6</v>
      </c>
      <c r="R357">
        <v>201.1</v>
      </c>
      <c r="S357">
        <v>177.7</v>
      </c>
      <c r="T357">
        <v>164.5</v>
      </c>
      <c r="U357">
        <v>175.7</v>
      </c>
      <c r="V357">
        <v>170.7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  <c r="AF357">
        <f t="shared" si="12"/>
        <v>176.59999999999997</v>
      </c>
      <c r="AG357">
        <v>201.1</v>
      </c>
      <c r="AH357">
        <f>Table1[[#This Row],[Clothing and footwear]]</f>
        <v>175.7</v>
      </c>
      <c r="AI357">
        <v>170.7</v>
      </c>
      <c r="AJ357">
        <v>180.6</v>
      </c>
      <c r="AK357">
        <f>AVERAGE(Table1[[#This Row],[Household goods and services]],Table1[[#This Row],[Personal care and effects]])</f>
        <v>171.65</v>
      </c>
      <c r="AL357">
        <f>Table1[[#This Row],[Health]]</f>
        <v>177.2</v>
      </c>
      <c r="AM357">
        <v>159.4</v>
      </c>
      <c r="AN357">
        <f>AVERAGE(Table1[[#This Row],[Education]],Table1[[#This Row],[Recreation and amusement]])</f>
        <v>169.45</v>
      </c>
      <c r="AO357">
        <f>Table1[[#This Row],[Miscellaneous]]</f>
        <v>168.2</v>
      </c>
      <c r="AP357" t="str">
        <f t="shared" si="13"/>
        <v>Post-COVID</v>
      </c>
    </row>
    <row r="358" spans="1:42" x14ac:dyDescent="0.25">
      <c r="A358" t="s">
        <v>34</v>
      </c>
      <c r="B358">
        <v>2022</v>
      </c>
      <c r="C358" t="s">
        <v>46</v>
      </c>
      <c r="D358" s="3">
        <f>DATE(B358,MATCH(C358,{"January","February","March","April","May","June","July","August","September","October","November","December"},0),1)</f>
        <v>44896</v>
      </c>
      <c r="E358">
        <v>169.2</v>
      </c>
      <c r="F358">
        <v>209</v>
      </c>
      <c r="G358">
        <v>190.2</v>
      </c>
      <c r="H358">
        <v>173.6</v>
      </c>
      <c r="I358">
        <v>188.5</v>
      </c>
      <c r="J358">
        <v>158</v>
      </c>
      <c r="K358">
        <v>159.9</v>
      </c>
      <c r="L358">
        <v>170.8</v>
      </c>
      <c r="M358">
        <v>121.8</v>
      </c>
      <c r="N358">
        <v>205.2</v>
      </c>
      <c r="O358">
        <v>171</v>
      </c>
      <c r="P358">
        <v>190.3</v>
      </c>
      <c r="Q358">
        <v>175.9</v>
      </c>
      <c r="R358">
        <v>197.3</v>
      </c>
      <c r="S358">
        <v>184</v>
      </c>
      <c r="T358">
        <v>177</v>
      </c>
      <c r="U358">
        <v>183</v>
      </c>
      <c r="V358">
        <v>170.7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  <c r="AF358">
        <f t="shared" si="12"/>
        <v>175.64615384615385</v>
      </c>
      <c r="AG358">
        <v>197.3</v>
      </c>
      <c r="AH358">
        <f>Table1[[#This Row],[Clothing and footwear]]</f>
        <v>183</v>
      </c>
      <c r="AI358">
        <v>170.7</v>
      </c>
      <c r="AJ358">
        <v>182</v>
      </c>
      <c r="AK358">
        <f>AVERAGE(Table1[[#This Row],[Household goods and services]],Table1[[#This Row],[Personal care and effects]])</f>
        <v>173.95</v>
      </c>
      <c r="AL358">
        <f>Table1[[#This Row],[Health]]</f>
        <v>181.1</v>
      </c>
      <c r="AM358">
        <v>163.4</v>
      </c>
      <c r="AN358">
        <f>AVERAGE(Table1[[#This Row],[Education]],Table1[[#This Row],[Recreation and amusement]])</f>
        <v>171.5</v>
      </c>
      <c r="AO358">
        <f>Table1[[#This Row],[Miscellaneous]]</f>
        <v>172</v>
      </c>
      <c r="AP358" t="str">
        <f t="shared" si="13"/>
        <v>Post-COVID</v>
      </c>
    </row>
    <row r="359" spans="1:42" x14ac:dyDescent="0.25">
      <c r="A359" t="s">
        <v>30</v>
      </c>
      <c r="B359">
        <v>2023</v>
      </c>
      <c r="C359" t="s">
        <v>31</v>
      </c>
      <c r="D359" s="3">
        <f>DATE(B359,MATCH(C359,{"January","February","March","April","May","June","July","August","September","October","November","December"},0),1)</f>
        <v>44927</v>
      </c>
      <c r="E359">
        <v>174</v>
      </c>
      <c r="F359">
        <v>208.3</v>
      </c>
      <c r="G359">
        <v>192.9</v>
      </c>
      <c r="H359">
        <v>174.3</v>
      </c>
      <c r="I359">
        <v>192.6</v>
      </c>
      <c r="J359">
        <v>156.30000000000001</v>
      </c>
      <c r="K359">
        <v>142.9</v>
      </c>
      <c r="L359">
        <v>170.7</v>
      </c>
      <c r="M359">
        <v>120.3</v>
      </c>
      <c r="N359">
        <v>210.5</v>
      </c>
      <c r="O359">
        <v>176.9</v>
      </c>
      <c r="P359">
        <v>188.5</v>
      </c>
      <c r="Q359">
        <v>175</v>
      </c>
      <c r="R359">
        <v>196.9</v>
      </c>
      <c r="S359">
        <v>189</v>
      </c>
      <c r="T359">
        <v>186.3</v>
      </c>
      <c r="U359">
        <v>188.6</v>
      </c>
      <c r="V359">
        <v>172.1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  <c r="AF359">
        <f t="shared" si="12"/>
        <v>175.63076923076926</v>
      </c>
      <c r="AG359">
        <v>196.9</v>
      </c>
      <c r="AH359">
        <f>Table1[[#This Row],[Clothing and footwear]]</f>
        <v>188.6</v>
      </c>
      <c r="AI359">
        <v>172.1</v>
      </c>
      <c r="AJ359">
        <v>183.2</v>
      </c>
      <c r="AK359">
        <f>AVERAGE(Table1[[#This Row],[Household goods and services]],Table1[[#This Row],[Personal care and effects]])</f>
        <v>177.8</v>
      </c>
      <c r="AL359">
        <f>Table1[[#This Row],[Health]]</f>
        <v>184.7</v>
      </c>
      <c r="AM359">
        <v>168.2</v>
      </c>
      <c r="AN359">
        <f>AVERAGE(Table1[[#This Row],[Education]],Table1[[#This Row],[Recreation and amusement]])</f>
        <v>174.8</v>
      </c>
      <c r="AO359">
        <f>Table1[[#This Row],[Miscellaneous]]</f>
        <v>176.5</v>
      </c>
      <c r="AP359" t="str">
        <f t="shared" si="13"/>
        <v>Post-COVID</v>
      </c>
    </row>
    <row r="360" spans="1:42" x14ac:dyDescent="0.25">
      <c r="A360" t="s">
        <v>33</v>
      </c>
      <c r="B360">
        <v>2023</v>
      </c>
      <c r="C360" t="s">
        <v>31</v>
      </c>
      <c r="D360" s="3">
        <f>DATE(B360,MATCH(C360,{"January","February","March","April","May","June","July","August","September","October","November","December"},0),1)</f>
        <v>44927</v>
      </c>
      <c r="E360">
        <v>173.3</v>
      </c>
      <c r="F360">
        <v>215.2</v>
      </c>
      <c r="G360">
        <v>197</v>
      </c>
      <c r="H360">
        <v>175.2</v>
      </c>
      <c r="I360">
        <v>178</v>
      </c>
      <c r="J360">
        <v>160.5</v>
      </c>
      <c r="K360">
        <v>175.3</v>
      </c>
      <c r="L360">
        <v>171.2</v>
      </c>
      <c r="M360">
        <v>122.7</v>
      </c>
      <c r="N360">
        <v>204.3</v>
      </c>
      <c r="O360">
        <v>163.69999999999999</v>
      </c>
      <c r="P360">
        <v>194.3</v>
      </c>
      <c r="Q360">
        <v>179.5</v>
      </c>
      <c r="R360">
        <v>201.6</v>
      </c>
      <c r="S360">
        <v>178.7</v>
      </c>
      <c r="T360">
        <v>165.3</v>
      </c>
      <c r="U360">
        <v>176.6</v>
      </c>
      <c r="V360"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  <c r="AF360">
        <f t="shared" si="12"/>
        <v>177.70769230769233</v>
      </c>
      <c r="AG360">
        <v>201.6</v>
      </c>
      <c r="AH360">
        <f>Table1[[#This Row],[Clothing and footwear]]</f>
        <v>176.6</v>
      </c>
      <c r="AI360">
        <v>172.1</v>
      </c>
      <c r="AJ360">
        <v>180.1</v>
      </c>
      <c r="AK360">
        <f>AVERAGE(Table1[[#This Row],[Household goods and services]],Table1[[#This Row],[Personal care and effects]])</f>
        <v>173.4</v>
      </c>
      <c r="AL360">
        <f>Table1[[#This Row],[Health]]</f>
        <v>178.5</v>
      </c>
      <c r="AM360">
        <v>159.5</v>
      </c>
      <c r="AN360">
        <f>AVERAGE(Table1[[#This Row],[Education]],Table1[[#This Row],[Recreation and amusement]])</f>
        <v>169.8</v>
      </c>
      <c r="AO360">
        <f>Table1[[#This Row],[Miscellaneous]]</f>
        <v>168.9</v>
      </c>
      <c r="AP360" t="str">
        <f t="shared" si="13"/>
        <v>Post-COVID</v>
      </c>
    </row>
    <row r="361" spans="1:42" x14ac:dyDescent="0.25">
      <c r="A361" t="s">
        <v>34</v>
      </c>
      <c r="B361">
        <v>2023</v>
      </c>
      <c r="C361" t="s">
        <v>31</v>
      </c>
      <c r="D361" s="3">
        <f>DATE(B361,MATCH(C361,{"January","February","March","April","May","June","July","August","September","October","November","December"},0),1)</f>
        <v>44927</v>
      </c>
      <c r="E361">
        <v>173.8</v>
      </c>
      <c r="F361">
        <v>210.7</v>
      </c>
      <c r="G361">
        <v>194.5</v>
      </c>
      <c r="H361">
        <v>174.6</v>
      </c>
      <c r="I361">
        <v>187.2</v>
      </c>
      <c r="J361">
        <v>158.30000000000001</v>
      </c>
      <c r="K361">
        <v>153.9</v>
      </c>
      <c r="L361">
        <v>170.9</v>
      </c>
      <c r="M361">
        <v>121.1</v>
      </c>
      <c r="N361">
        <v>208.4</v>
      </c>
      <c r="O361">
        <v>171.4</v>
      </c>
      <c r="P361">
        <v>191.2</v>
      </c>
      <c r="Q361">
        <v>176.7</v>
      </c>
      <c r="R361">
        <v>198.2</v>
      </c>
      <c r="S361">
        <v>184.9</v>
      </c>
      <c r="T361">
        <v>177.6</v>
      </c>
      <c r="U361">
        <v>183.8</v>
      </c>
      <c r="V361"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  <c r="AF361">
        <f t="shared" si="12"/>
        <v>176.36153846153846</v>
      </c>
      <c r="AG361">
        <v>198.2</v>
      </c>
      <c r="AH361">
        <f>Table1[[#This Row],[Clothing and footwear]]</f>
        <v>183.8</v>
      </c>
      <c r="AI361">
        <v>172.1</v>
      </c>
      <c r="AJ361">
        <v>182</v>
      </c>
      <c r="AK361">
        <f>AVERAGE(Table1[[#This Row],[Household goods and services]],Table1[[#This Row],[Personal care and effects]])</f>
        <v>175.75</v>
      </c>
      <c r="AL361">
        <f>Table1[[#This Row],[Health]]</f>
        <v>182.3</v>
      </c>
      <c r="AM361">
        <v>163.6</v>
      </c>
      <c r="AN361">
        <f>AVERAGE(Table1[[#This Row],[Education]],Table1[[#This Row],[Recreation and amusement]])</f>
        <v>171.9</v>
      </c>
      <c r="AO361">
        <f>Table1[[#This Row],[Miscellaneous]]</f>
        <v>172.8</v>
      </c>
      <c r="AP361" t="str">
        <f t="shared" si="13"/>
        <v>Post-COVID</v>
      </c>
    </row>
    <row r="362" spans="1:42" x14ac:dyDescent="0.25">
      <c r="A362" t="s">
        <v>30</v>
      </c>
      <c r="B362">
        <v>2023</v>
      </c>
      <c r="C362" t="s">
        <v>35</v>
      </c>
      <c r="D362" s="3">
        <f>DATE(B362,MATCH(C362,{"January","February","March","April","May","June","July","August","September","October","November","December"},0),1)</f>
        <v>44958</v>
      </c>
      <c r="E362">
        <v>174.2</v>
      </c>
      <c r="F362">
        <v>205.2</v>
      </c>
      <c r="G362">
        <v>173.9</v>
      </c>
      <c r="H362">
        <v>177</v>
      </c>
      <c r="I362">
        <v>183.4</v>
      </c>
      <c r="J362">
        <v>167.2</v>
      </c>
      <c r="K362">
        <v>140.9</v>
      </c>
      <c r="L362">
        <v>170.4</v>
      </c>
      <c r="M362">
        <v>119.1</v>
      </c>
      <c r="N362">
        <v>212.1</v>
      </c>
      <c r="O362">
        <v>177.6</v>
      </c>
      <c r="P362">
        <v>189.9</v>
      </c>
      <c r="Q362">
        <v>174.8</v>
      </c>
      <c r="R362">
        <v>198.3</v>
      </c>
      <c r="S362">
        <v>190</v>
      </c>
      <c r="T362">
        <v>187</v>
      </c>
      <c r="U362">
        <v>189.6</v>
      </c>
      <c r="V362">
        <v>173.5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  <c r="AF362">
        <f t="shared" si="12"/>
        <v>174.28461538461536</v>
      </c>
      <c r="AG362">
        <v>198.3</v>
      </c>
      <c r="AH362">
        <f>Table1[[#This Row],[Clothing and footwear]]</f>
        <v>189.6</v>
      </c>
      <c r="AI362">
        <v>173.5</v>
      </c>
      <c r="AJ362">
        <v>181.6</v>
      </c>
      <c r="AK362">
        <f>AVERAGE(Table1[[#This Row],[Household goods and services]],Table1[[#This Row],[Personal care and effects]])</f>
        <v>179.64999999999998</v>
      </c>
      <c r="AL362">
        <f>Table1[[#This Row],[Health]]</f>
        <v>186.6</v>
      </c>
      <c r="AM362">
        <v>169</v>
      </c>
      <c r="AN362">
        <f>AVERAGE(Table1[[#This Row],[Education]],Table1[[#This Row],[Recreation and amusement]])</f>
        <v>175.65</v>
      </c>
      <c r="AO362">
        <f>Table1[[#This Row],[Miscellaneous]]</f>
        <v>177.9</v>
      </c>
      <c r="AP362" t="str">
        <f t="shared" si="13"/>
        <v>Post-COVID</v>
      </c>
    </row>
    <row r="363" spans="1:42" x14ac:dyDescent="0.25">
      <c r="A363" t="s">
        <v>33</v>
      </c>
      <c r="B363">
        <v>2023</v>
      </c>
      <c r="C363" t="s">
        <v>35</v>
      </c>
      <c r="D363" s="3">
        <f>DATE(B363,MATCH(C363,{"January","February","March","April","May","June","July","August","September","October","November","December"},0),1)</f>
        <v>44958</v>
      </c>
      <c r="E363">
        <v>174.7</v>
      </c>
      <c r="F363">
        <v>212.2</v>
      </c>
      <c r="G363">
        <v>177.2</v>
      </c>
      <c r="H363">
        <v>177.9</v>
      </c>
      <c r="I363">
        <v>172.2</v>
      </c>
      <c r="J363">
        <v>172.1</v>
      </c>
      <c r="K363">
        <v>175.8</v>
      </c>
      <c r="L363">
        <v>172.2</v>
      </c>
      <c r="M363">
        <v>121.9</v>
      </c>
      <c r="N363">
        <v>204.8</v>
      </c>
      <c r="O363">
        <v>164.9</v>
      </c>
      <c r="P363">
        <v>196.6</v>
      </c>
      <c r="Q363">
        <v>180.7</v>
      </c>
      <c r="R363">
        <v>202.7</v>
      </c>
      <c r="S363">
        <v>180.3</v>
      </c>
      <c r="T363">
        <v>167</v>
      </c>
      <c r="U363">
        <v>178.2</v>
      </c>
      <c r="V363"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  <c r="AF363">
        <f t="shared" si="12"/>
        <v>177.16923076923075</v>
      </c>
      <c r="AG363">
        <v>202.7</v>
      </c>
      <c r="AH363">
        <f>Table1[[#This Row],[Clothing and footwear]]</f>
        <v>178.2</v>
      </c>
      <c r="AI363">
        <v>173.5</v>
      </c>
      <c r="AJ363">
        <v>182.8</v>
      </c>
      <c r="AK363">
        <f>AVERAGE(Table1[[#This Row],[Household goods and services]],Table1[[#This Row],[Personal care and effects]])</f>
        <v>175.3</v>
      </c>
      <c r="AL363">
        <f>Table1[[#This Row],[Health]]</f>
        <v>180.8</v>
      </c>
      <c r="AM363">
        <v>159.80000000000001</v>
      </c>
      <c r="AN363">
        <f>AVERAGE(Table1[[#This Row],[Education]],Table1[[#This Row],[Recreation and amusement]])</f>
        <v>170.45</v>
      </c>
      <c r="AO363">
        <f>Table1[[#This Row],[Miscellaneous]]</f>
        <v>170</v>
      </c>
      <c r="AP363" t="str">
        <f t="shared" si="13"/>
        <v>Post-COVID</v>
      </c>
    </row>
    <row r="364" spans="1:42" x14ac:dyDescent="0.25">
      <c r="A364" t="s">
        <v>34</v>
      </c>
      <c r="B364">
        <v>2023</v>
      </c>
      <c r="C364" t="s">
        <v>35</v>
      </c>
      <c r="D364" s="3">
        <f>DATE(B364,MATCH(C364,{"January","February","March","April","May","June","July","August","September","October","November","December"},0),1)</f>
        <v>44958</v>
      </c>
      <c r="E364">
        <v>174.4</v>
      </c>
      <c r="F364">
        <v>207.7</v>
      </c>
      <c r="G364">
        <v>175.2</v>
      </c>
      <c r="H364">
        <v>177.3</v>
      </c>
      <c r="I364">
        <v>179.3</v>
      </c>
      <c r="J364">
        <v>169.5</v>
      </c>
      <c r="K364">
        <v>152.69999999999999</v>
      </c>
      <c r="L364">
        <v>171</v>
      </c>
      <c r="M364">
        <v>120</v>
      </c>
      <c r="N364">
        <v>209.7</v>
      </c>
      <c r="O364">
        <v>172.3</v>
      </c>
      <c r="P364">
        <v>193</v>
      </c>
      <c r="Q364">
        <v>177</v>
      </c>
      <c r="R364">
        <v>199.5</v>
      </c>
      <c r="S364">
        <v>186.2</v>
      </c>
      <c r="T364">
        <v>178.7</v>
      </c>
      <c r="U364">
        <v>185.1</v>
      </c>
      <c r="V364"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  <c r="AF364">
        <f t="shared" si="12"/>
        <v>175.3153846153846</v>
      </c>
      <c r="AG364">
        <v>199.5</v>
      </c>
      <c r="AH364">
        <f>Table1[[#This Row],[Clothing and footwear]]</f>
        <v>185.1</v>
      </c>
      <c r="AI364">
        <v>173.5</v>
      </c>
      <c r="AJ364">
        <v>182.1</v>
      </c>
      <c r="AK364">
        <f>AVERAGE(Table1[[#This Row],[Household goods and services]],Table1[[#This Row],[Personal care and effects]])</f>
        <v>177.6</v>
      </c>
      <c r="AL364">
        <f>Table1[[#This Row],[Health]]</f>
        <v>184.4</v>
      </c>
      <c r="AM364">
        <v>164.2</v>
      </c>
      <c r="AN364">
        <f>AVERAGE(Table1[[#This Row],[Education]],Table1[[#This Row],[Recreation and amusement]])</f>
        <v>172.65</v>
      </c>
      <c r="AO364">
        <f>Table1[[#This Row],[Miscellaneous]]</f>
        <v>174.1</v>
      </c>
      <c r="AP364" t="str">
        <f t="shared" si="13"/>
        <v>Post-COVID</v>
      </c>
    </row>
    <row r="365" spans="1:42" x14ac:dyDescent="0.25">
      <c r="A365" t="s">
        <v>30</v>
      </c>
      <c r="B365">
        <v>2023</v>
      </c>
      <c r="C365" t="s">
        <v>36</v>
      </c>
      <c r="D365" s="3">
        <f>DATE(B365,MATCH(C365,{"January","February","March","April","May","June","July","August","September","October","November","December"},0),1)</f>
        <v>44986</v>
      </c>
      <c r="E365">
        <v>174.3</v>
      </c>
      <c r="F365">
        <v>205.2</v>
      </c>
      <c r="G365">
        <v>173.9</v>
      </c>
      <c r="H365">
        <v>177</v>
      </c>
      <c r="I365">
        <v>183.3</v>
      </c>
      <c r="J365">
        <v>167.2</v>
      </c>
      <c r="K365">
        <v>140.9</v>
      </c>
      <c r="L365">
        <v>170.5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198.4</v>
      </c>
      <c r="S365">
        <v>190</v>
      </c>
      <c r="T365">
        <v>187</v>
      </c>
      <c r="U365">
        <v>189.6</v>
      </c>
      <c r="V365">
        <v>173.5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  <c r="AF365">
        <f t="shared" si="12"/>
        <v>174.2923076923077</v>
      </c>
      <c r="AG365">
        <v>198.4</v>
      </c>
      <c r="AH365">
        <f>Table1[[#This Row],[Clothing and footwear]]</f>
        <v>189.6</v>
      </c>
      <c r="AI365">
        <v>173.5</v>
      </c>
      <c r="AJ365">
        <v>181.4</v>
      </c>
      <c r="AK365">
        <f>AVERAGE(Table1[[#This Row],[Household goods and services]],Table1[[#This Row],[Personal care and effects]])</f>
        <v>179.64999999999998</v>
      </c>
      <c r="AL365">
        <f>Table1[[#This Row],[Health]]</f>
        <v>186.6</v>
      </c>
      <c r="AM365">
        <v>169</v>
      </c>
      <c r="AN365">
        <f>AVERAGE(Table1[[#This Row],[Education]],Table1[[#This Row],[Recreation and amusement]])</f>
        <v>175.65</v>
      </c>
      <c r="AO365">
        <f>Table1[[#This Row],[Miscellaneous]]</f>
        <v>177.9</v>
      </c>
      <c r="AP365" t="str">
        <f t="shared" si="13"/>
        <v>Post-COVID</v>
      </c>
    </row>
    <row r="366" spans="1:42" x14ac:dyDescent="0.25">
      <c r="A366" t="s">
        <v>33</v>
      </c>
      <c r="B366">
        <v>2023</v>
      </c>
      <c r="C366" t="s">
        <v>36</v>
      </c>
      <c r="D366" s="3">
        <f>DATE(B366,MATCH(C366,{"January","February","March","April","May","June","July","August","September","October","November","December"},0),1)</f>
        <v>44986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175.9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180.8</v>
      </c>
      <c r="R366">
        <v>202.7</v>
      </c>
      <c r="S366">
        <v>180.2</v>
      </c>
      <c r="T366">
        <v>167</v>
      </c>
      <c r="U366">
        <v>178.2</v>
      </c>
      <c r="V366"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  <c r="AF366">
        <f t="shared" si="12"/>
        <v>177.1846153846154</v>
      </c>
      <c r="AG366">
        <v>202.7</v>
      </c>
      <c r="AH366">
        <f>Table1[[#This Row],[Clothing and footwear]]</f>
        <v>178.2</v>
      </c>
      <c r="AI366">
        <v>173.5</v>
      </c>
      <c r="AJ366">
        <v>182.6</v>
      </c>
      <c r="AK366">
        <f>AVERAGE(Table1[[#This Row],[Household goods and services]],Table1[[#This Row],[Personal care and effects]])</f>
        <v>175.35</v>
      </c>
      <c r="AL366">
        <f>Table1[[#This Row],[Health]]</f>
        <v>180.8</v>
      </c>
      <c r="AM366">
        <v>159.80000000000001</v>
      </c>
      <c r="AN366">
        <f>AVERAGE(Table1[[#This Row],[Education]],Table1[[#This Row],[Recreation and amusement]])</f>
        <v>170.45</v>
      </c>
      <c r="AO366">
        <f>Table1[[#This Row],[Miscellaneous]]</f>
        <v>170</v>
      </c>
      <c r="AP366" t="str">
        <f t="shared" si="13"/>
        <v>Post-COVID</v>
      </c>
    </row>
    <row r="367" spans="1:42" x14ac:dyDescent="0.25">
      <c r="A367" t="s">
        <v>34</v>
      </c>
      <c r="B367">
        <v>2023</v>
      </c>
      <c r="C367" t="s">
        <v>36</v>
      </c>
      <c r="D367" s="3">
        <f>DATE(B367,MATCH(C367,{"January","February","March","April","May","June","July","August","September","October","November","December"},0),1)</f>
        <v>44986</v>
      </c>
      <c r="E367">
        <v>174.4</v>
      </c>
      <c r="F367">
        <v>207.7</v>
      </c>
      <c r="G367">
        <v>175.2</v>
      </c>
      <c r="H367">
        <v>177.3</v>
      </c>
      <c r="I367">
        <v>179.2</v>
      </c>
      <c r="J367">
        <v>169.5</v>
      </c>
      <c r="K367">
        <v>152.80000000000001</v>
      </c>
      <c r="L367">
        <v>171.1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186.1</v>
      </c>
      <c r="T367">
        <v>178.7</v>
      </c>
      <c r="U367">
        <v>185.1</v>
      </c>
      <c r="V367"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  <c r="AF367">
        <f t="shared" si="12"/>
        <v>175.32307692307691</v>
      </c>
      <c r="AG367">
        <v>199.5</v>
      </c>
      <c r="AH367">
        <f>Table1[[#This Row],[Clothing and footwear]]</f>
        <v>185.1</v>
      </c>
      <c r="AI367">
        <v>173.5</v>
      </c>
      <c r="AJ367">
        <v>181.9</v>
      </c>
      <c r="AK367">
        <f>AVERAGE(Table1[[#This Row],[Household goods and services]],Table1[[#This Row],[Personal care and effects]])</f>
        <v>177.6</v>
      </c>
      <c r="AL367">
        <f>Table1[[#This Row],[Health]]</f>
        <v>184.4</v>
      </c>
      <c r="AM367">
        <v>164.2</v>
      </c>
      <c r="AN367">
        <f>AVERAGE(Table1[[#This Row],[Education]],Table1[[#This Row],[Recreation and amusement]])</f>
        <v>172.65</v>
      </c>
      <c r="AO367">
        <f>Table1[[#This Row],[Miscellaneous]]</f>
        <v>174.1</v>
      </c>
      <c r="AP367" t="str">
        <f t="shared" si="13"/>
        <v>Post-COVID</v>
      </c>
    </row>
    <row r="368" spans="1:42" x14ac:dyDescent="0.25">
      <c r="A368" t="s">
        <v>30</v>
      </c>
      <c r="B368">
        <v>2023</v>
      </c>
      <c r="C368" t="s">
        <v>37</v>
      </c>
      <c r="D368" s="3">
        <f>DATE(B368,MATCH(C368,{"January","February","March","April","May","June","July","August","September","October","November","December"},0),1)</f>
        <v>45017</v>
      </c>
      <c r="E368">
        <v>173.3</v>
      </c>
      <c r="F368">
        <v>206.9</v>
      </c>
      <c r="G368">
        <v>167.9</v>
      </c>
      <c r="H368">
        <v>178.2</v>
      </c>
      <c r="I368">
        <v>178.5</v>
      </c>
      <c r="J368">
        <v>173.7</v>
      </c>
      <c r="K368">
        <v>142.80000000000001</v>
      </c>
      <c r="L368">
        <v>172.8</v>
      </c>
      <c r="M368">
        <v>120.4</v>
      </c>
      <c r="N368">
        <v>215.5</v>
      </c>
      <c r="O368">
        <v>178.2</v>
      </c>
      <c r="P368">
        <v>190.5</v>
      </c>
      <c r="Q368">
        <v>175.5</v>
      </c>
      <c r="R368">
        <v>199.5</v>
      </c>
      <c r="S368">
        <v>190.7</v>
      </c>
      <c r="T368">
        <v>187.3</v>
      </c>
      <c r="U368">
        <v>190.2</v>
      </c>
      <c r="V368">
        <v>175.2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  <c r="AF368">
        <f t="shared" si="12"/>
        <v>174.93846153846152</v>
      </c>
      <c r="AG368">
        <v>199.5</v>
      </c>
      <c r="AH368">
        <f>Table1[[#This Row],[Clothing and footwear]]</f>
        <v>190.2</v>
      </c>
      <c r="AI368">
        <v>175.2</v>
      </c>
      <c r="AJ368">
        <v>181.5</v>
      </c>
      <c r="AK368">
        <f>AVERAGE(Table1[[#This Row],[Household goods and services]],Table1[[#This Row],[Personal care and effects]])</f>
        <v>181.45</v>
      </c>
      <c r="AL368">
        <f>Table1[[#This Row],[Health]]</f>
        <v>187.2</v>
      </c>
      <c r="AM368">
        <v>169.4</v>
      </c>
      <c r="AN368">
        <f>AVERAGE(Table1[[#This Row],[Education]],Table1[[#This Row],[Recreation and amusement]])</f>
        <v>176.3</v>
      </c>
      <c r="AO368">
        <f>Table1[[#This Row],[Miscellaneous]]</f>
        <v>178.9</v>
      </c>
      <c r="AP368" t="str">
        <f t="shared" si="13"/>
        <v>Post-COVID</v>
      </c>
    </row>
    <row r="369" spans="1:42" x14ac:dyDescent="0.25">
      <c r="A369" t="s">
        <v>33</v>
      </c>
      <c r="B369">
        <v>2023</v>
      </c>
      <c r="C369" t="s">
        <v>37</v>
      </c>
      <c r="D369" s="3">
        <f>DATE(B369,MATCH(C369,{"January","February","March","April","May","June","July","August","September","October","November","December"},0),1)</f>
        <v>45017</v>
      </c>
      <c r="E369">
        <v>174.8</v>
      </c>
      <c r="F369">
        <v>213.7</v>
      </c>
      <c r="G369">
        <v>172.4</v>
      </c>
      <c r="H369">
        <v>178.8</v>
      </c>
      <c r="I369">
        <v>168.7</v>
      </c>
      <c r="J369">
        <v>179.2</v>
      </c>
      <c r="K369">
        <v>179.9</v>
      </c>
      <c r="L369">
        <v>174.7</v>
      </c>
      <c r="M369">
        <v>123.1</v>
      </c>
      <c r="N369">
        <v>207.8</v>
      </c>
      <c r="O369">
        <v>165.5</v>
      </c>
      <c r="P369">
        <v>197</v>
      </c>
      <c r="Q369">
        <v>182.1</v>
      </c>
      <c r="R369">
        <v>203.5</v>
      </c>
      <c r="S369">
        <v>181</v>
      </c>
      <c r="T369">
        <v>167.7</v>
      </c>
      <c r="U369">
        <v>178.9</v>
      </c>
      <c r="V369"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  <c r="AF369">
        <f t="shared" si="12"/>
        <v>178.28461538461539</v>
      </c>
      <c r="AG369">
        <v>203.5</v>
      </c>
      <c r="AH369">
        <f>Table1[[#This Row],[Clothing and footwear]]</f>
        <v>178.9</v>
      </c>
      <c r="AI369">
        <v>175.2</v>
      </c>
      <c r="AJ369">
        <v>182.1</v>
      </c>
      <c r="AK369">
        <f>AVERAGE(Table1[[#This Row],[Household goods and services]],Table1[[#This Row],[Personal care and effects]])</f>
        <v>177</v>
      </c>
      <c r="AL369">
        <f>Table1[[#This Row],[Health]]</f>
        <v>181.5</v>
      </c>
      <c r="AM369">
        <v>160.1</v>
      </c>
      <c r="AN369">
        <f>AVERAGE(Table1[[#This Row],[Education]],Table1[[#This Row],[Recreation and amusement]])</f>
        <v>171.5</v>
      </c>
      <c r="AO369">
        <f>Table1[[#This Row],[Miscellaneous]]</f>
        <v>170.9</v>
      </c>
      <c r="AP369" t="str">
        <f t="shared" si="13"/>
        <v>Post-COVID</v>
      </c>
    </row>
    <row r="370" spans="1:42" x14ac:dyDescent="0.25">
      <c r="A370" t="s">
        <v>34</v>
      </c>
      <c r="B370">
        <v>2023</v>
      </c>
      <c r="C370" t="s">
        <v>37</v>
      </c>
      <c r="D370" s="3">
        <f>DATE(B370,MATCH(C370,{"January","February","March","April","May","June","July","August","September","October","November","December"},0),1)</f>
        <v>45017</v>
      </c>
      <c r="E370">
        <v>173.8</v>
      </c>
      <c r="F370">
        <v>209.3</v>
      </c>
      <c r="G370">
        <v>169.6</v>
      </c>
      <c r="H370">
        <v>178.4</v>
      </c>
      <c r="I370">
        <v>174.9</v>
      </c>
      <c r="J370">
        <v>176.3</v>
      </c>
      <c r="K370">
        <v>155.4</v>
      </c>
      <c r="L370">
        <v>173.4</v>
      </c>
      <c r="M370">
        <v>121.3</v>
      </c>
      <c r="N370">
        <v>212.9</v>
      </c>
      <c r="O370">
        <v>172.9</v>
      </c>
      <c r="P370">
        <v>193.5</v>
      </c>
      <c r="Q370">
        <v>177.9</v>
      </c>
      <c r="R370">
        <v>200.6</v>
      </c>
      <c r="S370">
        <v>186.9</v>
      </c>
      <c r="T370">
        <v>179.2</v>
      </c>
      <c r="U370">
        <v>185.7</v>
      </c>
      <c r="V370"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  <c r="AF370">
        <f t="shared" si="12"/>
        <v>176.12307692307695</v>
      </c>
      <c r="AG370">
        <v>200.6</v>
      </c>
      <c r="AH370">
        <f>Table1[[#This Row],[Clothing and footwear]]</f>
        <v>185.7</v>
      </c>
      <c r="AI370">
        <v>175.2</v>
      </c>
      <c r="AJ370">
        <v>181.7</v>
      </c>
      <c r="AK370">
        <f>AVERAGE(Table1[[#This Row],[Household goods and services]],Table1[[#This Row],[Personal care and effects]])</f>
        <v>179.3</v>
      </c>
      <c r="AL370">
        <f>Table1[[#This Row],[Health]]</f>
        <v>185</v>
      </c>
      <c r="AM370">
        <v>164.5</v>
      </c>
      <c r="AN370">
        <f>AVERAGE(Table1[[#This Row],[Education]],Table1[[#This Row],[Recreation and amusement]])</f>
        <v>173.55</v>
      </c>
      <c r="AO370">
        <f>Table1[[#This Row],[Miscellaneous]]</f>
        <v>175</v>
      </c>
      <c r="AP370" t="str">
        <f t="shared" si="13"/>
        <v>Post-COVID</v>
      </c>
    </row>
    <row r="371" spans="1:42" x14ac:dyDescent="0.25">
      <c r="A371" t="s">
        <v>30</v>
      </c>
      <c r="B371">
        <v>2023</v>
      </c>
      <c r="C371" t="s">
        <v>38</v>
      </c>
      <c r="D371" s="3">
        <f>DATE(B371,MATCH(C371,{"January","February","March","April","May","June","July","August","September","October","November","December"},0),1)</f>
        <v>45047</v>
      </c>
      <c r="E371">
        <v>173.2</v>
      </c>
      <c r="F371">
        <v>211.5</v>
      </c>
      <c r="G371">
        <v>171</v>
      </c>
      <c r="H371">
        <v>179.6</v>
      </c>
      <c r="I371">
        <v>173.3</v>
      </c>
      <c r="J371">
        <v>169</v>
      </c>
      <c r="K371">
        <v>148.69999999999999</v>
      </c>
      <c r="L371">
        <v>174.9</v>
      </c>
      <c r="M371">
        <v>121.9</v>
      </c>
      <c r="N371">
        <v>221</v>
      </c>
      <c r="O371">
        <v>178.7</v>
      </c>
      <c r="P371">
        <v>191.1</v>
      </c>
      <c r="Q371">
        <v>176.8</v>
      </c>
      <c r="R371">
        <v>199.9</v>
      </c>
      <c r="S371">
        <v>191.2</v>
      </c>
      <c r="T371">
        <v>187.9</v>
      </c>
      <c r="U371">
        <v>190.8</v>
      </c>
      <c r="V371">
        <v>175.6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  <c r="AF371">
        <f t="shared" si="12"/>
        <v>176.20769230769235</v>
      </c>
      <c r="AG371">
        <v>199.9</v>
      </c>
      <c r="AH371">
        <f>Table1[[#This Row],[Clothing and footwear]]</f>
        <v>190.8</v>
      </c>
      <c r="AI371">
        <v>175.6</v>
      </c>
      <c r="AJ371">
        <v>182.5</v>
      </c>
      <c r="AK371">
        <f>AVERAGE(Table1[[#This Row],[Household goods and services]],Table1[[#This Row],[Personal care and effects]])</f>
        <v>182.35000000000002</v>
      </c>
      <c r="AL371">
        <f>Table1[[#This Row],[Health]]</f>
        <v>187.8</v>
      </c>
      <c r="AM371">
        <v>169.7</v>
      </c>
      <c r="AN371">
        <f>AVERAGE(Table1[[#This Row],[Education]],Table1[[#This Row],[Recreation and amusement]])</f>
        <v>177.05</v>
      </c>
      <c r="AO371">
        <f>Table1[[#This Row],[Miscellaneous]]</f>
        <v>179.5</v>
      </c>
      <c r="AP371" t="str">
        <f t="shared" si="13"/>
        <v>Post-COVID</v>
      </c>
    </row>
    <row r="372" spans="1:42" x14ac:dyDescent="0.25">
      <c r="A372" t="s">
        <v>33</v>
      </c>
      <c r="B372">
        <v>2023</v>
      </c>
      <c r="C372" t="s">
        <v>38</v>
      </c>
      <c r="D372" s="3">
        <f>DATE(B372,MATCH(C372,{"January","February","March","April","May","June","July","August","September","October","November","December"},0),1)</f>
        <v>45047</v>
      </c>
      <c r="E372">
        <v>174.7</v>
      </c>
      <c r="F372">
        <v>219.4</v>
      </c>
      <c r="G372">
        <v>176.7</v>
      </c>
      <c r="H372">
        <v>179.4</v>
      </c>
      <c r="I372">
        <v>164.4</v>
      </c>
      <c r="J372">
        <v>175.8</v>
      </c>
      <c r="K372">
        <v>185</v>
      </c>
      <c r="L372">
        <v>176.9</v>
      </c>
      <c r="M372">
        <v>124.2</v>
      </c>
      <c r="N372">
        <v>211.9</v>
      </c>
      <c r="O372">
        <v>165.9</v>
      </c>
      <c r="P372">
        <v>197.7</v>
      </c>
      <c r="Q372">
        <v>183.1</v>
      </c>
      <c r="R372">
        <v>204.2</v>
      </c>
      <c r="S372">
        <v>181.3</v>
      </c>
      <c r="T372">
        <v>168.1</v>
      </c>
      <c r="U372">
        <v>179.3</v>
      </c>
      <c r="V372"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  <c r="AF372">
        <f t="shared" si="12"/>
        <v>179.62307692307692</v>
      </c>
      <c r="AG372">
        <v>204.2</v>
      </c>
      <c r="AH372">
        <f>Table1[[#This Row],[Clothing and footwear]]</f>
        <v>179.3</v>
      </c>
      <c r="AI372">
        <v>175.6</v>
      </c>
      <c r="AJ372">
        <v>183.4</v>
      </c>
      <c r="AK372">
        <f>AVERAGE(Table1[[#This Row],[Household goods and services]],Table1[[#This Row],[Personal care and effects]])</f>
        <v>177.85</v>
      </c>
      <c r="AL372">
        <f>Table1[[#This Row],[Health]]</f>
        <v>182.2</v>
      </c>
      <c r="AM372">
        <v>160.4</v>
      </c>
      <c r="AN372">
        <f>AVERAGE(Table1[[#This Row],[Education]],Table1[[#This Row],[Recreation and amusement]])</f>
        <v>172</v>
      </c>
      <c r="AO372">
        <f>Table1[[#This Row],[Miscellaneous]]</f>
        <v>171.6</v>
      </c>
      <c r="AP372" t="str">
        <f t="shared" si="13"/>
        <v>Post-COVID</v>
      </c>
    </row>
    <row r="373" spans="1:42" x14ac:dyDescent="0.25">
      <c r="A373" t="s">
        <v>34</v>
      </c>
      <c r="B373">
        <v>2023</v>
      </c>
      <c r="C373" t="s">
        <v>38</v>
      </c>
      <c r="D373" s="3">
        <f>DATE(B373,MATCH(C373,{"January","February","March","April","May","June","July","August","September","October","November","December"},0),1)</f>
        <v>45047</v>
      </c>
      <c r="E373">
        <v>173.7</v>
      </c>
      <c r="F373">
        <v>214.3</v>
      </c>
      <c r="G373">
        <v>173.2</v>
      </c>
      <c r="H373">
        <v>179.5</v>
      </c>
      <c r="I373">
        <v>170</v>
      </c>
      <c r="J373">
        <v>172.2</v>
      </c>
      <c r="K373">
        <v>161</v>
      </c>
      <c r="L373">
        <v>175.6</v>
      </c>
      <c r="M373">
        <v>122.7</v>
      </c>
      <c r="N373">
        <v>218</v>
      </c>
      <c r="O373">
        <v>173.4</v>
      </c>
      <c r="P373">
        <v>194.2</v>
      </c>
      <c r="Q373">
        <v>179.1</v>
      </c>
      <c r="R373">
        <v>201</v>
      </c>
      <c r="S373">
        <v>187.3</v>
      </c>
      <c r="T373">
        <v>179.7</v>
      </c>
      <c r="U373">
        <v>186.2</v>
      </c>
      <c r="V373"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  <c r="AF373">
        <f t="shared" si="12"/>
        <v>177.45384615384617</v>
      </c>
      <c r="AG373">
        <v>201</v>
      </c>
      <c r="AH373">
        <f>Table1[[#This Row],[Clothing and footwear]]</f>
        <v>186.2</v>
      </c>
      <c r="AI373">
        <v>175.6</v>
      </c>
      <c r="AJ373">
        <v>182.8</v>
      </c>
      <c r="AK373">
        <f>AVERAGE(Table1[[#This Row],[Household goods and services]],Table1[[#This Row],[Personal care and effects]])</f>
        <v>180.2</v>
      </c>
      <c r="AL373">
        <f>Table1[[#This Row],[Health]]</f>
        <v>185.7</v>
      </c>
      <c r="AM373">
        <v>164.8</v>
      </c>
      <c r="AN373">
        <f>AVERAGE(Table1[[#This Row],[Education]],Table1[[#This Row],[Recreation and amusement]])</f>
        <v>174.14999999999998</v>
      </c>
      <c r="AO373">
        <f>Table1[[#This Row],[Miscellaneous]]</f>
        <v>175.7</v>
      </c>
      <c r="AP373" t="str">
        <f t="shared" si="13"/>
        <v>Post-COVID</v>
      </c>
    </row>
    <row r="376" spans="1:42" x14ac:dyDescent="0.25">
      <c r="K376" t="e">
        <f>AVERAGEIFS($K$2:$K$373,A2:D373,"Rural",D2:D373,$D$2)</f>
        <v>#VALUE!</v>
      </c>
      <c r="N376">
        <f>AVERAGEIFS($K$2:$K$373,A2:A373,"Rural",B2:B373,$B$2)</f>
        <v>128.76666666666668</v>
      </c>
      <c r="Q376">
        <f>COUNTIFS(N2:N373,"&gt;120",N2:N373,"&lt;130")</f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4795-0D59-4F1E-9690-026BAA1CA5C0}">
  <dimension ref="A1:K43"/>
  <sheetViews>
    <sheetView topLeftCell="A16" zoomScale="70" zoomScaleNormal="70" workbookViewId="0">
      <selection activeCell="A8" sqref="A8"/>
    </sheetView>
  </sheetViews>
  <sheetFormatPr defaultRowHeight="15" x14ac:dyDescent="0.25"/>
  <cols>
    <col min="1" max="1" width="30.28515625" customWidth="1"/>
    <col min="2" max="2" width="20.5703125" bestFit="1" customWidth="1"/>
    <col min="3" max="3" width="47.28515625" bestFit="1" customWidth="1"/>
    <col min="4" max="4" width="38.28515625" bestFit="1" customWidth="1"/>
    <col min="5" max="5" width="30.7109375" bestFit="1" customWidth="1"/>
    <col min="6" max="6" width="47.140625" bestFit="1" customWidth="1"/>
    <col min="7" max="8" width="44.85546875" bestFit="1" customWidth="1"/>
    <col min="9" max="9" width="27.7109375" bestFit="1" customWidth="1"/>
    <col min="10" max="10" width="42.5703125" bestFit="1" customWidth="1"/>
    <col min="11" max="11" width="32.85546875" bestFit="1" customWidth="1"/>
  </cols>
  <sheetData>
    <row r="1" spans="1:11" ht="31.5" x14ac:dyDescent="0.5">
      <c r="A1" s="107" t="s">
        <v>140</v>
      </c>
      <c r="B1" s="107"/>
      <c r="C1" s="107"/>
    </row>
    <row r="3" spans="1:11" x14ac:dyDescent="0.25">
      <c r="A3" s="9" t="s">
        <v>0</v>
      </c>
      <c r="B3" t="s">
        <v>34</v>
      </c>
    </row>
    <row r="4" spans="1:11" x14ac:dyDescent="0.25">
      <c r="A4" s="9" t="s">
        <v>1</v>
      </c>
      <c r="B4" s="10">
        <v>2023</v>
      </c>
    </row>
    <row r="5" spans="1:11" x14ac:dyDescent="0.25">
      <c r="A5" s="9" t="s">
        <v>2</v>
      </c>
      <c r="B5" t="s">
        <v>38</v>
      </c>
    </row>
    <row r="7" spans="1:11" x14ac:dyDescent="0.25">
      <c r="A7" s="9" t="s">
        <v>57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70</v>
      </c>
      <c r="H7" t="s">
        <v>71</v>
      </c>
      <c r="I7" t="s">
        <v>72</v>
      </c>
      <c r="J7" t="s">
        <v>73</v>
      </c>
      <c r="K7" t="s">
        <v>75</v>
      </c>
    </row>
    <row r="8" spans="1:11" x14ac:dyDescent="0.25">
      <c r="A8" s="12">
        <v>45047</v>
      </c>
      <c r="B8" s="4">
        <v>177.45384615384617</v>
      </c>
      <c r="C8" s="4">
        <v>201</v>
      </c>
      <c r="D8" s="4">
        <v>186.2</v>
      </c>
      <c r="E8" s="4">
        <v>182.8</v>
      </c>
      <c r="F8" s="4">
        <v>164.8</v>
      </c>
      <c r="G8" s="4">
        <v>175.6</v>
      </c>
      <c r="H8" s="4">
        <v>180.2</v>
      </c>
      <c r="I8" s="4">
        <v>185.7</v>
      </c>
      <c r="J8" s="4">
        <v>174.14999999999998</v>
      </c>
      <c r="K8" s="4">
        <v>175.7</v>
      </c>
    </row>
    <row r="9" spans="1:11" x14ac:dyDescent="0.25">
      <c r="A9" s="12" t="s">
        <v>58</v>
      </c>
      <c r="B9" s="4">
        <v>177.45384615384617</v>
      </c>
      <c r="C9" s="4">
        <v>201</v>
      </c>
      <c r="D9" s="4">
        <v>186.2</v>
      </c>
      <c r="E9" s="4">
        <v>182.8</v>
      </c>
      <c r="F9" s="4">
        <v>164.8</v>
      </c>
      <c r="G9" s="4">
        <v>175.6</v>
      </c>
      <c r="H9" s="4">
        <v>180.2</v>
      </c>
      <c r="I9" s="4">
        <v>185.7</v>
      </c>
      <c r="J9" s="4">
        <v>174.14999999999998</v>
      </c>
      <c r="K9" s="4">
        <v>175.7</v>
      </c>
    </row>
    <row r="12" spans="1:11" x14ac:dyDescent="0.25">
      <c r="A12" s="6" t="s">
        <v>64</v>
      </c>
      <c r="B12" s="14">
        <f>SUM($B$14:$B$23)</f>
        <v>1803.6038461538462</v>
      </c>
    </row>
    <row r="14" spans="1:11" x14ac:dyDescent="0.25">
      <c r="A14" s="13" t="s">
        <v>51</v>
      </c>
      <c r="B14" s="4">
        <f>$B$8</f>
        <v>177.45384615384617</v>
      </c>
      <c r="C14" s="4">
        <f>B14/$B$12 *100</f>
        <v>9.8388482887893254</v>
      </c>
    </row>
    <row r="15" spans="1:11" x14ac:dyDescent="0.25">
      <c r="A15" s="13" t="s">
        <v>52</v>
      </c>
      <c r="B15" s="11">
        <f>$C$8</f>
        <v>201</v>
      </c>
      <c r="C15" s="14">
        <f t="shared" ref="C15:C23" si="0">B15/$B$12 *100</f>
        <v>11.144354145652827</v>
      </c>
    </row>
    <row r="16" spans="1:11" x14ac:dyDescent="0.25">
      <c r="A16" s="13" t="s">
        <v>53</v>
      </c>
      <c r="B16" s="4">
        <f>$D$8</f>
        <v>186.2</v>
      </c>
      <c r="C16" s="15">
        <f t="shared" si="0"/>
        <v>10.323774835425652</v>
      </c>
    </row>
    <row r="17" spans="1:3" x14ac:dyDescent="0.25">
      <c r="A17" s="13" t="s">
        <v>54</v>
      </c>
      <c r="B17" s="4">
        <f>$E$8</f>
        <v>182.8</v>
      </c>
      <c r="C17" s="4">
        <f t="shared" si="0"/>
        <v>10.135263372265356</v>
      </c>
    </row>
    <row r="18" spans="1:3" x14ac:dyDescent="0.25">
      <c r="A18" s="13" t="s">
        <v>55</v>
      </c>
      <c r="B18" s="4">
        <f>$F$8</f>
        <v>164.8</v>
      </c>
      <c r="C18" s="4">
        <f t="shared" si="0"/>
        <v>9.137261508475552</v>
      </c>
    </row>
    <row r="19" spans="1:3" x14ac:dyDescent="0.25">
      <c r="A19" s="13" t="s">
        <v>65</v>
      </c>
      <c r="B19" s="11">
        <f>$G$8</f>
        <v>175.6</v>
      </c>
      <c r="C19" s="4">
        <f t="shared" si="0"/>
        <v>9.736062626749435</v>
      </c>
    </row>
    <row r="20" spans="1:3" x14ac:dyDescent="0.25">
      <c r="A20" s="13" t="s">
        <v>66</v>
      </c>
      <c r="B20" s="11">
        <f>$H$8</f>
        <v>180.2</v>
      </c>
      <c r="C20" s="4">
        <f t="shared" si="0"/>
        <v>9.9911075474957176</v>
      </c>
    </row>
    <row r="21" spans="1:3" x14ac:dyDescent="0.25">
      <c r="A21" s="13" t="s">
        <v>67</v>
      </c>
      <c r="B21" s="11">
        <f>$I$8</f>
        <v>185.7</v>
      </c>
      <c r="C21" s="16">
        <f t="shared" si="0"/>
        <v>10.296052561431491</v>
      </c>
    </row>
    <row r="22" spans="1:3" x14ac:dyDescent="0.25">
      <c r="A22" s="13" t="s">
        <v>68</v>
      </c>
      <c r="B22" s="11">
        <f>$J$8</f>
        <v>174.14999999999998</v>
      </c>
      <c r="C22" s="4">
        <f t="shared" si="0"/>
        <v>9.6556680321663659</v>
      </c>
    </row>
    <row r="23" spans="1:3" x14ac:dyDescent="0.25">
      <c r="A23" s="13" t="s">
        <v>69</v>
      </c>
      <c r="B23" s="11">
        <f>$K$8</f>
        <v>175.7</v>
      </c>
      <c r="C23" s="4">
        <f t="shared" si="0"/>
        <v>9.7416070815482669</v>
      </c>
    </row>
    <row r="39" spans="1:5" ht="26.25" x14ac:dyDescent="0.4">
      <c r="A39" s="108" t="s">
        <v>145</v>
      </c>
      <c r="B39" s="108"/>
      <c r="C39" s="108"/>
      <c r="D39" s="108"/>
      <c r="E39" s="108"/>
    </row>
    <row r="41" spans="1:5" ht="26.25" x14ac:dyDescent="0.4">
      <c r="A41" s="108" t="s">
        <v>146</v>
      </c>
      <c r="B41" s="108"/>
      <c r="C41" s="108"/>
      <c r="D41" s="108"/>
      <c r="E41" s="108"/>
    </row>
    <row r="43" spans="1:5" ht="26.25" x14ac:dyDescent="0.4">
      <c r="A43" s="108" t="s">
        <v>147</v>
      </c>
      <c r="B43" s="108"/>
      <c r="C43" s="108"/>
      <c r="D43" s="108"/>
      <c r="E43" s="108"/>
    </row>
  </sheetData>
  <mergeCells count="4">
    <mergeCell ref="A1:C1"/>
    <mergeCell ref="A39:E39"/>
    <mergeCell ref="A41:E41"/>
    <mergeCell ref="A43:E43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A042-5D23-403E-9872-854F3EEE233E}">
  <dimension ref="A1:X31"/>
  <sheetViews>
    <sheetView zoomScale="70" zoomScaleNormal="70" workbookViewId="0">
      <selection activeCell="A8" sqref="A8:B8"/>
      <pivotSelection pane="bottomRight" showHeader="1" extendable="1" axis="axisRow" start="2" max="9" activeRow="7" previousRow="7" click="1" r:id="rId1">
        <pivotArea dataOnly="0" fieldPosition="0">
          <references count="1">
            <reference field="1" count="1">
              <x v="5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24" bestFit="1" customWidth="1"/>
    <col min="5" max="5" width="12.7109375" customWidth="1"/>
  </cols>
  <sheetData>
    <row r="1" spans="1:5" ht="28.5" x14ac:dyDescent="0.45">
      <c r="A1" s="109" t="s">
        <v>141</v>
      </c>
      <c r="B1" s="109"/>
      <c r="C1" s="109"/>
    </row>
    <row r="3" spans="1:5" x14ac:dyDescent="0.25">
      <c r="A3" s="9" t="s">
        <v>0</v>
      </c>
      <c r="B3" t="s">
        <v>85</v>
      </c>
    </row>
    <row r="5" spans="1:5" x14ac:dyDescent="0.25">
      <c r="A5" s="9" t="s">
        <v>57</v>
      </c>
      <c r="B5" t="s">
        <v>76</v>
      </c>
      <c r="D5" s="18" t="s">
        <v>1</v>
      </c>
      <c r="E5" s="18" t="s">
        <v>77</v>
      </c>
    </row>
    <row r="6" spans="1:5" x14ac:dyDescent="0.25">
      <c r="A6" s="10">
        <v>2016</v>
      </c>
      <c r="B6" s="4">
        <v>129.10000000000002</v>
      </c>
      <c r="D6">
        <v>2017</v>
      </c>
      <c r="E6" s="17">
        <f>($B$7-$B$6)/$B$6</f>
        <v>3.3199931147258686E-2</v>
      </c>
    </row>
    <row r="7" spans="1:5" x14ac:dyDescent="0.25">
      <c r="A7" s="10">
        <v>2017</v>
      </c>
      <c r="B7" s="4">
        <v>133.38611111111112</v>
      </c>
      <c r="D7">
        <v>2018</v>
      </c>
      <c r="E7" s="17">
        <f>($B$8-$B$7)/$B$7</f>
        <v>3.9609321310314437E-2</v>
      </c>
    </row>
    <row r="8" spans="1:5" x14ac:dyDescent="0.25">
      <c r="A8" s="10">
        <v>2018</v>
      </c>
      <c r="B8" s="4">
        <v>138.66944444444442</v>
      </c>
      <c r="D8">
        <v>2019</v>
      </c>
      <c r="E8" s="17">
        <f>($B$9-$B$8)/$B$8</f>
        <v>3.9358550145593821E-2</v>
      </c>
    </row>
    <row r="9" spans="1:5" x14ac:dyDescent="0.25">
      <c r="A9" s="10">
        <v>2019</v>
      </c>
      <c r="B9" s="4">
        <v>144.12727272727273</v>
      </c>
      <c r="D9">
        <v>2020</v>
      </c>
      <c r="E9" s="17">
        <f>($B$10-$B$9)/$B$9</f>
        <v>6.019336164725362E-2</v>
      </c>
    </row>
    <row r="10" spans="1:5" x14ac:dyDescent="0.25">
      <c r="A10" s="10">
        <v>2020</v>
      </c>
      <c r="B10" s="4">
        <v>152.80277777777781</v>
      </c>
      <c r="D10">
        <v>2021</v>
      </c>
      <c r="E10" s="17">
        <f>($B$11-$B$10)/$B$10</f>
        <v>5.6372593575596465E-2</v>
      </c>
    </row>
    <row r="11" spans="1:5" x14ac:dyDescent="0.25">
      <c r="A11" s="10">
        <v>2021</v>
      </c>
      <c r="B11" s="4">
        <v>161.41666666666666</v>
      </c>
      <c r="D11">
        <v>2022</v>
      </c>
      <c r="E11" s="17">
        <f>($B$12-$B$11)/$B$11</f>
        <v>6.6029943211151437E-2</v>
      </c>
    </row>
    <row r="12" spans="1:5" x14ac:dyDescent="0.25">
      <c r="A12" s="10">
        <v>2022</v>
      </c>
      <c r="B12" s="4">
        <v>172.07500000000002</v>
      </c>
      <c r="D12">
        <v>2023</v>
      </c>
      <c r="E12" s="17">
        <f>($B$13-$B$12)/$B$12</f>
        <v>3.195312121652364E-2</v>
      </c>
    </row>
    <row r="13" spans="1:5" x14ac:dyDescent="0.25">
      <c r="A13" s="10">
        <v>2023</v>
      </c>
      <c r="B13" s="4">
        <v>177.57333333333332</v>
      </c>
    </row>
    <row r="14" spans="1:5" x14ac:dyDescent="0.25">
      <c r="A14" s="10" t="s">
        <v>58</v>
      </c>
      <c r="B14" s="4">
        <v>149.12121212121215</v>
      </c>
    </row>
    <row r="20" spans="1:24" ht="26.25" x14ac:dyDescent="0.4">
      <c r="A20" s="108" t="s">
        <v>148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</row>
    <row r="22" spans="1:24" ht="26.25" x14ac:dyDescent="0.4">
      <c r="A22" s="108" t="s">
        <v>149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4" spans="1:24" ht="26.25" x14ac:dyDescent="0.4">
      <c r="A24" s="79" t="s">
        <v>150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8"/>
      <c r="T24" s="78"/>
    </row>
    <row r="25" spans="1:24" ht="26.25" x14ac:dyDescent="0.4">
      <c r="A25" s="108" t="s">
        <v>151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  <row r="30" spans="1:24" ht="26.25" x14ac:dyDescent="0.4">
      <c r="A30" s="87" t="s">
        <v>163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</row>
    <row r="31" spans="1:24" ht="26.25" x14ac:dyDescent="0.4">
      <c r="A31" s="86" t="s">
        <v>164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</row>
  </sheetData>
  <mergeCells count="4">
    <mergeCell ref="A1:C1"/>
    <mergeCell ref="A20:L20"/>
    <mergeCell ref="A22:N22"/>
    <mergeCell ref="A25:Q25"/>
  </mergeCells>
  <conditionalFormatting sqref="E6:E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4DE0-3CA5-49AD-A781-36C28C21BB5D}">
  <dimension ref="A1:R64"/>
  <sheetViews>
    <sheetView zoomScale="85" zoomScaleNormal="85" workbookViewId="0">
      <selection activeCell="H51" sqref="H51"/>
    </sheetView>
  </sheetViews>
  <sheetFormatPr defaultRowHeight="15" x14ac:dyDescent="0.25"/>
  <cols>
    <col min="1" max="1" width="20" customWidth="1"/>
    <col min="2" max="2" width="18.28515625" customWidth="1"/>
    <col min="4" max="4" width="28" customWidth="1"/>
    <col min="5" max="5" width="30.140625" bestFit="1" customWidth="1"/>
    <col min="6" max="6" width="23.5703125" bestFit="1" customWidth="1"/>
    <col min="7" max="7" width="25.42578125" customWidth="1"/>
    <col min="8" max="8" width="27.42578125" bestFit="1" customWidth="1"/>
    <col min="9" max="9" width="22.28515625" bestFit="1" customWidth="1"/>
    <col min="10" max="10" width="16.140625" bestFit="1" customWidth="1"/>
    <col min="11" max="11" width="21.42578125" bestFit="1" customWidth="1"/>
    <col min="12" max="12" width="29.140625" bestFit="1" customWidth="1"/>
    <col min="13" max="13" width="33.28515625" bestFit="1" customWidth="1"/>
    <col min="14" max="14" width="16.7109375" bestFit="1" customWidth="1"/>
    <col min="15" max="15" width="32.85546875" bestFit="1" customWidth="1"/>
    <col min="16" max="16" width="43.7109375" bestFit="1" customWidth="1"/>
    <col min="17" max="17" width="29.28515625" bestFit="1" customWidth="1"/>
  </cols>
  <sheetData>
    <row r="1" spans="1:8" ht="28.5" x14ac:dyDescent="0.45">
      <c r="A1" s="109" t="s">
        <v>142</v>
      </c>
      <c r="B1" s="109"/>
      <c r="C1" s="109"/>
    </row>
    <row r="3" spans="1:8" x14ac:dyDescent="0.25">
      <c r="A3" s="71" t="s">
        <v>0</v>
      </c>
      <c r="B3" s="71" t="s">
        <v>34</v>
      </c>
    </row>
    <row r="4" spans="1:8" ht="15.75" thickBot="1" x14ac:dyDescent="0.3">
      <c r="A4" s="71"/>
      <c r="B4" s="71"/>
    </row>
    <row r="5" spans="1:8" x14ac:dyDescent="0.25">
      <c r="A5" s="71" t="s">
        <v>57</v>
      </c>
      <c r="B5" s="71" t="s">
        <v>59</v>
      </c>
      <c r="D5" s="36" t="s">
        <v>49</v>
      </c>
      <c r="E5" s="37" t="s">
        <v>87</v>
      </c>
      <c r="F5" s="37" t="s">
        <v>88</v>
      </c>
      <c r="G5" s="38" t="s">
        <v>89</v>
      </c>
    </row>
    <row r="6" spans="1:8" x14ac:dyDescent="0.25">
      <c r="A6" s="72">
        <v>44682</v>
      </c>
      <c r="B6" s="73">
        <v>172.22307692307697</v>
      </c>
      <c r="D6" s="29"/>
      <c r="E6" s="30"/>
      <c r="F6" s="31"/>
      <c r="G6" s="23"/>
    </row>
    <row r="7" spans="1:8" x14ac:dyDescent="0.25">
      <c r="A7" s="72">
        <v>44713</v>
      </c>
      <c r="B7" s="73">
        <v>173.99230769230769</v>
      </c>
      <c r="D7" s="41">
        <v>44713</v>
      </c>
      <c r="E7" s="39">
        <v>173.99230769230769</v>
      </c>
      <c r="F7" s="32">
        <f>($B$7-$B$6)/$B$6</f>
        <v>1.0272901871454425E-2</v>
      </c>
      <c r="G7" s="33">
        <f t="shared" ref="G7:G18" si="0">(B7-B28)/B28</f>
        <v>5.9984066732274195E-2</v>
      </c>
    </row>
    <row r="8" spans="1:8" x14ac:dyDescent="0.25">
      <c r="A8" s="72">
        <v>44743</v>
      </c>
      <c r="B8" s="73">
        <v>174.33076923076925</v>
      </c>
      <c r="D8" s="41">
        <v>44743</v>
      </c>
      <c r="E8" s="39">
        <v>174.33076923076925</v>
      </c>
      <c r="F8" s="32">
        <f>($B$8-$B$7)/$B$7</f>
        <v>1.9452672531943328E-3</v>
      </c>
      <c r="G8" s="33">
        <f t="shared" si="0"/>
        <v>5.5565905915230626E-2</v>
      </c>
      <c r="H8" s="17"/>
    </row>
    <row r="9" spans="1:8" x14ac:dyDescent="0.25">
      <c r="A9" s="72">
        <v>44774</v>
      </c>
      <c r="B9" s="73">
        <v>174.55384615384617</v>
      </c>
      <c r="D9" s="41">
        <v>44774</v>
      </c>
      <c r="E9" s="39">
        <v>174.55384615384617</v>
      </c>
      <c r="F9" s="32">
        <f>($B$9-$B$8)/$B$8</f>
        <v>1.2796187618585007E-3</v>
      </c>
      <c r="G9" s="33">
        <f t="shared" si="0"/>
        <v>5.9383753501400606E-2</v>
      </c>
    </row>
    <row r="10" spans="1:8" x14ac:dyDescent="0.25">
      <c r="A10" s="72">
        <v>44805</v>
      </c>
      <c r="B10" s="73">
        <v>175.45384615384617</v>
      </c>
      <c r="D10" s="41">
        <v>44805</v>
      </c>
      <c r="E10" s="39">
        <v>175.45384615384617</v>
      </c>
      <c r="F10" s="32">
        <f>($B$10-$B$9)/$B$9</f>
        <v>5.1560021152829514E-3</v>
      </c>
      <c r="G10" s="33">
        <f t="shared" si="0"/>
        <v>6.4845938375350215E-2</v>
      </c>
    </row>
    <row r="11" spans="1:8" x14ac:dyDescent="0.25">
      <c r="A11" s="72">
        <v>44835</v>
      </c>
      <c r="B11" s="73">
        <v>176.71538461538464</v>
      </c>
      <c r="D11" s="41">
        <v>44835</v>
      </c>
      <c r="E11" s="39">
        <v>176.71538461538464</v>
      </c>
      <c r="F11" s="32">
        <f>($B$11-$B$10)/$B$10</f>
        <v>7.1901442413082701E-3</v>
      </c>
      <c r="G11" s="33">
        <f t="shared" si="0"/>
        <v>5.5987129395541416E-2</v>
      </c>
    </row>
    <row r="12" spans="1:8" x14ac:dyDescent="0.25">
      <c r="A12" s="72">
        <v>44866</v>
      </c>
      <c r="B12" s="73">
        <v>176.67692307692309</v>
      </c>
      <c r="D12" s="41">
        <v>44866</v>
      </c>
      <c r="E12" s="39">
        <v>176.67692307692309</v>
      </c>
      <c r="F12" s="32">
        <f>($B$12-$B$11)/$B$11</f>
        <v>-2.176468027685168E-4</v>
      </c>
      <c r="G12" s="33">
        <f t="shared" si="0"/>
        <v>4.6807346975981073E-2</v>
      </c>
    </row>
    <row r="13" spans="1:8" x14ac:dyDescent="0.25">
      <c r="A13" s="72">
        <v>44896</v>
      </c>
      <c r="B13" s="73">
        <v>175.64615384615385</v>
      </c>
      <c r="D13" s="41">
        <v>44896</v>
      </c>
      <c r="E13" s="39">
        <v>175.64615384615385</v>
      </c>
      <c r="F13" s="32">
        <f>($B$13-$B$12)/$B$12</f>
        <v>-5.8342041100662182E-3</v>
      </c>
      <c r="G13" s="33">
        <f t="shared" si="0"/>
        <v>4.6998945389518099E-2</v>
      </c>
    </row>
    <row r="14" spans="1:8" x14ac:dyDescent="0.25">
      <c r="A14" s="72">
        <v>44927</v>
      </c>
      <c r="B14" s="73">
        <v>176.36153846153846</v>
      </c>
      <c r="D14" s="41">
        <v>44927</v>
      </c>
      <c r="E14" s="39">
        <v>176.36153846153846</v>
      </c>
      <c r="F14" s="32">
        <f>($B$14-$B$13)/$B$13</f>
        <v>4.0728737847069707E-3</v>
      </c>
      <c r="G14" s="33">
        <f t="shared" si="0"/>
        <v>5.9375288790315145E-2</v>
      </c>
    </row>
    <row r="15" spans="1:8" x14ac:dyDescent="0.25">
      <c r="A15" s="72">
        <v>44958</v>
      </c>
      <c r="B15" s="73">
        <v>175.3153846153846</v>
      </c>
      <c r="D15" s="41">
        <v>44958</v>
      </c>
      <c r="E15" s="39">
        <v>175.3153846153846</v>
      </c>
      <c r="F15" s="32">
        <f>($B$15-$B$14)/$B$14</f>
        <v>-5.9318707201117182E-3</v>
      </c>
      <c r="G15" s="33">
        <f t="shared" si="0"/>
        <v>5.4553026096612736E-2</v>
      </c>
    </row>
    <row r="16" spans="1:8" x14ac:dyDescent="0.25">
      <c r="A16" s="72">
        <v>44986</v>
      </c>
      <c r="B16" s="73">
        <v>175.32307692307691</v>
      </c>
      <c r="D16" s="41">
        <v>44986</v>
      </c>
      <c r="E16" s="39">
        <v>175.32307692307691</v>
      </c>
      <c r="F16" s="32">
        <f>($B$16-$B$15)/$B$15</f>
        <v>4.3876968978992914E-5</v>
      </c>
      <c r="G16" s="33">
        <f t="shared" si="0"/>
        <v>4.3494185514146785E-2</v>
      </c>
    </row>
    <row r="17" spans="1:18" x14ac:dyDescent="0.25">
      <c r="A17" s="72">
        <v>45017</v>
      </c>
      <c r="B17" s="73">
        <v>176.12307692307695</v>
      </c>
      <c r="D17" s="41">
        <v>45017</v>
      </c>
      <c r="E17" s="39">
        <v>176.12307692307695</v>
      </c>
      <c r="F17" s="32">
        <f>($B$17-$B$16)/$B$16</f>
        <v>4.5630045630047902E-3</v>
      </c>
      <c r="G17" s="33">
        <f t="shared" si="0"/>
        <v>3.4006232217856709E-2</v>
      </c>
    </row>
    <row r="18" spans="1:18" ht="15.75" thickBot="1" x14ac:dyDescent="0.3">
      <c r="A18" s="72">
        <v>45047</v>
      </c>
      <c r="B18" s="73">
        <v>177.45384615384617</v>
      </c>
      <c r="D18" s="42">
        <v>45047</v>
      </c>
      <c r="E18" s="40">
        <v>177.45384615384617</v>
      </c>
      <c r="F18" s="34">
        <f>($B$18-$B$17)/$B$17</f>
        <v>7.555904961565281E-3</v>
      </c>
      <c r="G18" s="35">
        <f t="shared" si="0"/>
        <v>3.0372057706909445E-2</v>
      </c>
    </row>
    <row r="19" spans="1:18" x14ac:dyDescent="0.25">
      <c r="A19" s="72" t="s">
        <v>58</v>
      </c>
      <c r="B19" s="73">
        <v>175.39763313609467</v>
      </c>
    </row>
    <row r="20" spans="1:18" ht="15.75" thickBot="1" x14ac:dyDescent="0.3">
      <c r="A20" s="71"/>
      <c r="B20" s="71"/>
    </row>
    <row r="21" spans="1:18" ht="15.75" thickBot="1" x14ac:dyDescent="0.3">
      <c r="A21" s="71"/>
      <c r="B21" s="71"/>
      <c r="D21" s="111" t="s">
        <v>90</v>
      </c>
      <c r="E21" s="112"/>
      <c r="F21" s="112"/>
      <c r="G21" s="43">
        <v>44713</v>
      </c>
      <c r="H21" s="70">
        <f>G7</f>
        <v>5.9984066732274195E-2</v>
      </c>
    </row>
    <row r="22" spans="1:18" ht="15.75" thickBot="1" x14ac:dyDescent="0.3">
      <c r="A22" s="71"/>
      <c r="B22" s="71"/>
    </row>
    <row r="23" spans="1:18" ht="15.75" thickBot="1" x14ac:dyDescent="0.3">
      <c r="A23" s="71"/>
      <c r="B23" s="71"/>
      <c r="D23" s="111" t="s">
        <v>91</v>
      </c>
      <c r="E23" s="112"/>
      <c r="F23" s="112"/>
      <c r="G23" s="43">
        <v>44958</v>
      </c>
      <c r="H23" s="70">
        <f>F15</f>
        <v>-5.9318707201117182E-3</v>
      </c>
    </row>
    <row r="24" spans="1:18" ht="15.75" thickBot="1" x14ac:dyDescent="0.3">
      <c r="A24" s="71" t="s">
        <v>0</v>
      </c>
      <c r="B24" s="71" t="s">
        <v>34</v>
      </c>
    </row>
    <row r="25" spans="1:18" ht="15.75" thickBot="1" x14ac:dyDescent="0.3">
      <c r="A25" s="71"/>
      <c r="B25" s="71"/>
      <c r="D25" s="111" t="s">
        <v>92</v>
      </c>
      <c r="E25" s="112"/>
      <c r="F25" s="112"/>
      <c r="G25" s="43">
        <v>44805</v>
      </c>
      <c r="H25" s="70">
        <f>G10</f>
        <v>6.4845938375350215E-2</v>
      </c>
    </row>
    <row r="26" spans="1:18" ht="15.75" thickBot="1" x14ac:dyDescent="0.3">
      <c r="A26" s="71" t="s">
        <v>57</v>
      </c>
      <c r="B26" s="71" t="s">
        <v>59</v>
      </c>
      <c r="C26" s="9"/>
    </row>
    <row r="27" spans="1:18" ht="15.75" thickBot="1" x14ac:dyDescent="0.3">
      <c r="A27" s="72">
        <v>44317</v>
      </c>
      <c r="B27" s="73">
        <v>161.9769230769231</v>
      </c>
      <c r="D27" s="111" t="s">
        <v>93</v>
      </c>
      <c r="E27" s="112"/>
      <c r="F27" s="112"/>
      <c r="G27" s="43">
        <v>45047</v>
      </c>
      <c r="H27" s="70">
        <f>G18</f>
        <v>3.0372057706909445E-2</v>
      </c>
    </row>
    <row r="28" spans="1:18" x14ac:dyDescent="0.25">
      <c r="A28" s="72">
        <v>44348</v>
      </c>
      <c r="B28" s="73">
        <v>164.14615384615385</v>
      </c>
    </row>
    <row r="29" spans="1:18" x14ac:dyDescent="0.25">
      <c r="A29" s="72">
        <v>44378</v>
      </c>
      <c r="B29" s="73">
        <v>165.15384615384616</v>
      </c>
    </row>
    <row r="30" spans="1:18" x14ac:dyDescent="0.25">
      <c r="A30" s="72">
        <v>44409</v>
      </c>
      <c r="B30" s="73">
        <v>164.76923076923077</v>
      </c>
      <c r="D30" s="71" t="s">
        <v>0</v>
      </c>
      <c r="E30" s="71" t="s">
        <v>34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</row>
    <row r="31" spans="1:18" x14ac:dyDescent="0.25">
      <c r="A31" s="72">
        <v>44440</v>
      </c>
      <c r="B31" s="73">
        <v>164.76923076923077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</row>
    <row r="32" spans="1:18" x14ac:dyDescent="0.25">
      <c r="A32" s="72">
        <v>44470</v>
      </c>
      <c r="B32" s="73">
        <v>167.34615384615384</v>
      </c>
      <c r="D32" s="71" t="s">
        <v>57</v>
      </c>
      <c r="E32" s="71" t="s">
        <v>94</v>
      </c>
      <c r="F32" s="71" t="s">
        <v>95</v>
      </c>
      <c r="G32" s="71" t="s">
        <v>96</v>
      </c>
      <c r="H32" s="71" t="s">
        <v>97</v>
      </c>
      <c r="I32" s="71" t="s">
        <v>98</v>
      </c>
      <c r="J32" s="71" t="s">
        <v>99</v>
      </c>
      <c r="K32" s="71" t="s">
        <v>100</v>
      </c>
      <c r="L32" s="71" t="s">
        <v>101</v>
      </c>
      <c r="M32" s="71" t="s">
        <v>102</v>
      </c>
      <c r="N32" s="71" t="s">
        <v>103</v>
      </c>
      <c r="O32" s="71" t="s">
        <v>104</v>
      </c>
      <c r="P32" s="71" t="s">
        <v>105</v>
      </c>
      <c r="Q32" s="71" t="s">
        <v>106</v>
      </c>
      <c r="R32" s="71"/>
    </row>
    <row r="33" spans="1:18" x14ac:dyDescent="0.25">
      <c r="A33" s="72">
        <v>44501</v>
      </c>
      <c r="B33" s="73">
        <v>168.77692307692308</v>
      </c>
      <c r="D33" s="72">
        <v>44713</v>
      </c>
      <c r="E33" s="73">
        <v>155</v>
      </c>
      <c r="F33" s="73">
        <v>219.4</v>
      </c>
      <c r="G33" s="73">
        <v>170.8</v>
      </c>
      <c r="H33" s="73">
        <v>165.8</v>
      </c>
      <c r="I33" s="73">
        <v>200.9</v>
      </c>
      <c r="J33" s="73">
        <v>169.7</v>
      </c>
      <c r="K33" s="73">
        <v>182.3</v>
      </c>
      <c r="L33" s="73">
        <v>164.3</v>
      </c>
      <c r="M33" s="73">
        <v>119.9</v>
      </c>
      <c r="N33" s="73">
        <v>187.1</v>
      </c>
      <c r="O33" s="73">
        <v>167.9</v>
      </c>
      <c r="P33" s="73">
        <v>183.9</v>
      </c>
      <c r="Q33" s="73">
        <v>174.9</v>
      </c>
      <c r="R33" s="71"/>
    </row>
    <row r="34" spans="1:18" x14ac:dyDescent="0.25">
      <c r="A34" s="72">
        <v>44531</v>
      </c>
      <c r="B34" s="73">
        <v>167.76153846153846</v>
      </c>
      <c r="D34" s="72">
        <v>45047</v>
      </c>
      <c r="E34" s="73">
        <v>173.7</v>
      </c>
      <c r="F34" s="73">
        <v>214.3</v>
      </c>
      <c r="G34" s="73">
        <v>173.2</v>
      </c>
      <c r="H34" s="73">
        <v>179.5</v>
      </c>
      <c r="I34" s="73">
        <v>170</v>
      </c>
      <c r="J34" s="73">
        <v>172.2</v>
      </c>
      <c r="K34" s="73">
        <v>161</v>
      </c>
      <c r="L34" s="73">
        <v>175.6</v>
      </c>
      <c r="M34" s="73">
        <v>122.7</v>
      </c>
      <c r="N34" s="73">
        <v>218</v>
      </c>
      <c r="O34" s="73">
        <v>173.4</v>
      </c>
      <c r="P34" s="73">
        <v>194.2</v>
      </c>
      <c r="Q34" s="73">
        <v>179.1</v>
      </c>
      <c r="R34" s="71"/>
    </row>
    <row r="35" spans="1:18" x14ac:dyDescent="0.25">
      <c r="A35" s="72">
        <v>44562</v>
      </c>
      <c r="B35" s="73">
        <v>166.47692307692307</v>
      </c>
      <c r="D35" s="72" t="s">
        <v>58</v>
      </c>
      <c r="E35" s="73">
        <v>164.35</v>
      </c>
      <c r="F35" s="73">
        <v>216.85000000000002</v>
      </c>
      <c r="G35" s="73">
        <v>172</v>
      </c>
      <c r="H35" s="73">
        <v>172.65</v>
      </c>
      <c r="I35" s="73">
        <v>185.45</v>
      </c>
      <c r="J35" s="73">
        <v>170.95</v>
      </c>
      <c r="K35" s="73">
        <v>171.65</v>
      </c>
      <c r="L35" s="73">
        <v>169.95</v>
      </c>
      <c r="M35" s="73">
        <v>121.30000000000001</v>
      </c>
      <c r="N35" s="73">
        <v>202.55</v>
      </c>
      <c r="O35" s="73">
        <v>170.65</v>
      </c>
      <c r="P35" s="73">
        <v>189.05</v>
      </c>
      <c r="Q35" s="73">
        <v>177</v>
      </c>
      <c r="R35" s="71"/>
    </row>
    <row r="36" spans="1:18" x14ac:dyDescent="0.25">
      <c r="A36" s="72">
        <v>44593</v>
      </c>
      <c r="B36" s="73">
        <v>166.24615384615387</v>
      </c>
    </row>
    <row r="37" spans="1:18" x14ac:dyDescent="0.25">
      <c r="A37" s="72">
        <v>44621</v>
      </c>
      <c r="B37" s="73">
        <v>168.01538461538465</v>
      </c>
    </row>
    <row r="38" spans="1:18" ht="23.25" x14ac:dyDescent="0.25">
      <c r="A38" s="72">
        <v>44652</v>
      </c>
      <c r="B38" s="73">
        <v>170.33076923076925</v>
      </c>
      <c r="F38" s="113" t="s">
        <v>139</v>
      </c>
      <c r="G38" s="114"/>
      <c r="H38" s="114"/>
    </row>
    <row r="39" spans="1:18" x14ac:dyDescent="0.25">
      <c r="A39" s="72">
        <v>44682</v>
      </c>
      <c r="B39" s="73">
        <v>172.22307692307697</v>
      </c>
    </row>
    <row r="40" spans="1:18" x14ac:dyDescent="0.25">
      <c r="A40" s="72">
        <v>44713</v>
      </c>
      <c r="B40" s="73">
        <v>173.99230769230769</v>
      </c>
    </row>
    <row r="41" spans="1:18" x14ac:dyDescent="0.25">
      <c r="A41" s="72">
        <v>44743</v>
      </c>
      <c r="B41" s="73">
        <v>174.33076923076925</v>
      </c>
      <c r="D41" s="77" t="s">
        <v>133</v>
      </c>
      <c r="E41" s="77" t="s">
        <v>134</v>
      </c>
      <c r="F41" s="77" t="s">
        <v>135</v>
      </c>
      <c r="G41" s="77" t="s">
        <v>136</v>
      </c>
      <c r="H41" s="77" t="s">
        <v>137</v>
      </c>
      <c r="I41" s="77" t="s">
        <v>138</v>
      </c>
    </row>
    <row r="42" spans="1:18" x14ac:dyDescent="0.25">
      <c r="A42" s="72">
        <v>44774</v>
      </c>
      <c r="B42" s="73">
        <v>174.55384615384617</v>
      </c>
      <c r="D42" s="71" t="s">
        <v>3</v>
      </c>
      <c r="E42" s="73">
        <v>155</v>
      </c>
      <c r="F42" s="73">
        <v>173.7</v>
      </c>
      <c r="G42" s="74">
        <f>F42-E42</f>
        <v>18.699999999999989</v>
      </c>
      <c r="H42" s="75">
        <f>(F42-E42)/E42</f>
        <v>0.1206451612903225</v>
      </c>
      <c r="I42" s="76">
        <f>_xlfn.RANK.EQ(G42,$G$42:$G$54,0)</f>
        <v>2</v>
      </c>
    </row>
    <row r="43" spans="1:18" x14ac:dyDescent="0.25">
      <c r="A43" s="72">
        <v>44805</v>
      </c>
      <c r="B43" s="73">
        <v>175.45384615384617</v>
      </c>
      <c r="D43" s="71" t="s">
        <v>4</v>
      </c>
      <c r="E43" s="73">
        <v>219.4</v>
      </c>
      <c r="F43" s="73">
        <v>214.3</v>
      </c>
      <c r="G43" s="74">
        <f t="shared" ref="G43:G54" si="1">F43-E43</f>
        <v>-5.0999999999999943</v>
      </c>
      <c r="H43" s="75">
        <f t="shared" ref="H43:H54" si="2">(F43-E43)/E43</f>
        <v>-2.3245214220601614E-2</v>
      </c>
      <c r="I43" s="76">
        <f t="shared" ref="I43:I54" si="3">_xlfn.RANK.EQ(G43,$G$42:$G$54,0)</f>
        <v>11</v>
      </c>
    </row>
    <row r="44" spans="1:18" x14ac:dyDescent="0.25">
      <c r="A44" s="72">
        <v>44835</v>
      </c>
      <c r="B44" s="73">
        <v>176.71538461538464</v>
      </c>
      <c r="D44" s="71" t="s">
        <v>5</v>
      </c>
      <c r="E44" s="73">
        <v>170.8</v>
      </c>
      <c r="F44" s="73">
        <v>173.2</v>
      </c>
      <c r="G44" s="74">
        <f t="shared" si="1"/>
        <v>2.3999999999999773</v>
      </c>
      <c r="H44" s="75">
        <f t="shared" si="2"/>
        <v>1.4051522248243426E-2</v>
      </c>
      <c r="I44" s="76">
        <f t="shared" si="3"/>
        <v>10</v>
      </c>
    </row>
    <row r="45" spans="1:18" x14ac:dyDescent="0.25">
      <c r="A45" s="72">
        <v>44866</v>
      </c>
      <c r="B45" s="73">
        <v>176.67692307692309</v>
      </c>
      <c r="D45" s="71" t="s">
        <v>6</v>
      </c>
      <c r="E45" s="73">
        <v>165.8</v>
      </c>
      <c r="F45" s="73">
        <v>179.5</v>
      </c>
      <c r="G45" s="74">
        <f t="shared" si="1"/>
        <v>13.699999999999989</v>
      </c>
      <c r="H45" s="75">
        <f t="shared" si="2"/>
        <v>8.2629674306393175E-2</v>
      </c>
      <c r="I45" s="76">
        <f t="shared" si="3"/>
        <v>3</v>
      </c>
    </row>
    <row r="46" spans="1:18" x14ac:dyDescent="0.25">
      <c r="A46" s="72">
        <v>44896</v>
      </c>
      <c r="B46" s="73">
        <v>175.64615384615385</v>
      </c>
      <c r="D46" s="71" t="s">
        <v>7</v>
      </c>
      <c r="E46" s="73">
        <v>200.9</v>
      </c>
      <c r="F46" s="73">
        <v>170</v>
      </c>
      <c r="G46" s="74">
        <f t="shared" si="1"/>
        <v>-30.900000000000006</v>
      </c>
      <c r="H46" s="75">
        <f t="shared" si="2"/>
        <v>-0.15380786460925835</v>
      </c>
      <c r="I46" s="76">
        <f t="shared" si="3"/>
        <v>13</v>
      </c>
    </row>
    <row r="47" spans="1:18" x14ac:dyDescent="0.25">
      <c r="A47" s="72">
        <v>44927</v>
      </c>
      <c r="B47" s="73">
        <v>176.36153846153846</v>
      </c>
      <c r="D47" s="71" t="s">
        <v>8</v>
      </c>
      <c r="E47" s="73">
        <v>169.7</v>
      </c>
      <c r="F47" s="73">
        <v>172.2</v>
      </c>
      <c r="G47" s="74">
        <f t="shared" si="1"/>
        <v>2.5</v>
      </c>
      <c r="H47" s="75">
        <f t="shared" si="2"/>
        <v>1.4731879787860933E-2</v>
      </c>
      <c r="I47" s="76">
        <f t="shared" si="3"/>
        <v>9</v>
      </c>
    </row>
    <row r="48" spans="1:18" x14ac:dyDescent="0.25">
      <c r="A48" s="72">
        <v>44958</v>
      </c>
      <c r="B48" s="73">
        <v>175.3153846153846</v>
      </c>
      <c r="D48" s="71" t="s">
        <v>9</v>
      </c>
      <c r="E48" s="73">
        <v>182.3</v>
      </c>
      <c r="F48" s="73">
        <v>161</v>
      </c>
      <c r="G48" s="74">
        <f t="shared" si="1"/>
        <v>-21.300000000000011</v>
      </c>
      <c r="H48" s="75">
        <f t="shared" si="2"/>
        <v>-0.11684037301151953</v>
      </c>
      <c r="I48" s="76">
        <f t="shared" si="3"/>
        <v>12</v>
      </c>
    </row>
    <row r="49" spans="1:9" x14ac:dyDescent="0.25">
      <c r="A49" s="72">
        <v>44986</v>
      </c>
      <c r="B49" s="73">
        <v>175.32307692307691</v>
      </c>
      <c r="D49" s="71" t="s">
        <v>10</v>
      </c>
      <c r="E49" s="73">
        <v>164.3</v>
      </c>
      <c r="F49" s="73">
        <v>175.6</v>
      </c>
      <c r="G49" s="74">
        <f t="shared" si="1"/>
        <v>11.299999999999983</v>
      </c>
      <c r="H49" s="75">
        <f t="shared" si="2"/>
        <v>6.8776628119293873E-2</v>
      </c>
      <c r="I49" s="76">
        <f t="shared" si="3"/>
        <v>4</v>
      </c>
    </row>
    <row r="50" spans="1:9" x14ac:dyDescent="0.25">
      <c r="A50" s="72">
        <v>45017</v>
      </c>
      <c r="B50" s="73">
        <v>176.12307692307695</v>
      </c>
      <c r="D50" s="71" t="s">
        <v>11</v>
      </c>
      <c r="E50" s="73">
        <v>119.9</v>
      </c>
      <c r="F50" s="73">
        <v>122.7</v>
      </c>
      <c r="G50" s="74">
        <f t="shared" si="1"/>
        <v>2.7999999999999972</v>
      </c>
      <c r="H50" s="75">
        <f t="shared" si="2"/>
        <v>2.3352793994995805E-2</v>
      </c>
      <c r="I50" s="76">
        <f t="shared" si="3"/>
        <v>8</v>
      </c>
    </row>
    <row r="51" spans="1:9" ht="15.75" thickBot="1" x14ac:dyDescent="0.3">
      <c r="A51" s="72">
        <v>45047</v>
      </c>
      <c r="B51" s="73">
        <v>177.45384615384617</v>
      </c>
      <c r="D51" s="71" t="s">
        <v>12</v>
      </c>
      <c r="E51" s="73">
        <v>187.1</v>
      </c>
      <c r="F51" s="73">
        <v>218</v>
      </c>
      <c r="G51" s="74">
        <f t="shared" si="1"/>
        <v>30.900000000000006</v>
      </c>
      <c r="H51" s="75">
        <f t="shared" si="2"/>
        <v>0.16515232495991453</v>
      </c>
      <c r="I51" s="76">
        <f t="shared" si="3"/>
        <v>1</v>
      </c>
    </row>
    <row r="52" spans="1:9" x14ac:dyDescent="0.25">
      <c r="A52" s="72" t="s">
        <v>58</v>
      </c>
      <c r="B52" s="73">
        <v>171.0375384615385</v>
      </c>
      <c r="D52" s="71" t="s">
        <v>50</v>
      </c>
      <c r="E52" s="73">
        <v>167.9</v>
      </c>
      <c r="F52" s="73">
        <v>173.4</v>
      </c>
      <c r="G52" s="74">
        <f t="shared" si="1"/>
        <v>5.5</v>
      </c>
      <c r="H52" s="75">
        <f t="shared" si="2"/>
        <v>3.2757593805836809E-2</v>
      </c>
      <c r="I52" s="76">
        <f t="shared" si="3"/>
        <v>6</v>
      </c>
    </row>
    <row r="53" spans="1:9" x14ac:dyDescent="0.25">
      <c r="D53" s="71" t="s">
        <v>14</v>
      </c>
      <c r="E53" s="73">
        <v>183.9</v>
      </c>
      <c r="F53" s="73">
        <v>194.2</v>
      </c>
      <c r="G53" s="74">
        <f t="shared" si="1"/>
        <v>10.299999999999983</v>
      </c>
      <c r="H53" s="75">
        <f t="shared" si="2"/>
        <v>5.6008700380641561E-2</v>
      </c>
      <c r="I53" s="76">
        <f t="shared" si="3"/>
        <v>5</v>
      </c>
    </row>
    <row r="54" spans="1:9" x14ac:dyDescent="0.25">
      <c r="D54" s="71" t="s">
        <v>15</v>
      </c>
      <c r="E54" s="73">
        <v>174.9</v>
      </c>
      <c r="F54" s="73">
        <v>179.1</v>
      </c>
      <c r="G54" s="74">
        <f t="shared" si="1"/>
        <v>4.1999999999999886</v>
      </c>
      <c r="H54" s="75">
        <f t="shared" si="2"/>
        <v>2.4013722126929607E-2</v>
      </c>
      <c r="I54" s="76">
        <f t="shared" si="3"/>
        <v>7</v>
      </c>
    </row>
    <row r="55" spans="1:9" x14ac:dyDescent="0.25">
      <c r="D55" s="71"/>
      <c r="E55" s="71"/>
      <c r="F55" s="71"/>
      <c r="G55" s="76"/>
      <c r="H55" s="76"/>
      <c r="I55" s="76"/>
    </row>
    <row r="59" spans="1:9" ht="23.25" x14ac:dyDescent="0.35">
      <c r="A59" s="80" t="s">
        <v>152</v>
      </c>
      <c r="B59" s="80"/>
      <c r="C59" s="80"/>
      <c r="D59" s="80"/>
      <c r="E59" s="80"/>
      <c r="F59" s="80"/>
      <c r="G59" s="80"/>
      <c r="H59" s="80"/>
    </row>
    <row r="61" spans="1:9" ht="23.25" x14ac:dyDescent="0.35">
      <c r="A61" s="80" t="s">
        <v>153</v>
      </c>
      <c r="B61" s="80"/>
      <c r="C61" s="80"/>
      <c r="D61" s="80"/>
      <c r="E61" s="80"/>
      <c r="F61" s="80"/>
      <c r="G61" s="81"/>
    </row>
    <row r="64" spans="1:9" ht="23.25" x14ac:dyDescent="0.35">
      <c r="A64" s="110" t="s">
        <v>154</v>
      </c>
      <c r="B64" s="110"/>
      <c r="C64" s="110"/>
      <c r="D64" s="110"/>
      <c r="E64" s="110"/>
    </row>
  </sheetData>
  <mergeCells count="7">
    <mergeCell ref="A64:E64"/>
    <mergeCell ref="A1:C1"/>
    <mergeCell ref="D21:F21"/>
    <mergeCell ref="D23:F23"/>
    <mergeCell ref="D25:F25"/>
    <mergeCell ref="D27:F27"/>
    <mergeCell ref="F38:H38"/>
  </mergeCells>
  <conditionalFormatting sqref="F7:F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G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8C15-97ED-4428-9249-3FF01E47E713}">
  <dimension ref="A1:Z90"/>
  <sheetViews>
    <sheetView topLeftCell="H70" zoomScale="70" zoomScaleNormal="70" workbookViewId="0">
      <selection activeCell="B7" sqref="B7"/>
    </sheetView>
  </sheetViews>
  <sheetFormatPr defaultRowHeight="15" x14ac:dyDescent="0.25"/>
  <cols>
    <col min="1" max="1" width="22.28515625" bestFit="1" customWidth="1"/>
    <col min="2" max="2" width="36.28515625" bestFit="1" customWidth="1"/>
    <col min="3" max="3" width="23.42578125" bestFit="1" customWidth="1"/>
    <col min="4" max="4" width="50.140625" bestFit="1" customWidth="1"/>
    <col min="5" max="5" width="32.28515625" bestFit="1" customWidth="1"/>
    <col min="6" max="6" width="54.42578125" bestFit="1" customWidth="1"/>
    <col min="7" max="7" width="35.85546875" bestFit="1" customWidth="1"/>
    <col min="8" max="8" width="51.5703125" bestFit="1" customWidth="1"/>
    <col min="9" max="9" width="32.28515625" bestFit="1" customWidth="1"/>
    <col min="10" max="10" width="54.42578125" bestFit="1" customWidth="1"/>
    <col min="11" max="11" width="49.140625" bestFit="1" customWidth="1"/>
    <col min="12" max="12" width="38.7109375" bestFit="1" customWidth="1"/>
    <col min="13" max="13" width="17.7109375" customWidth="1"/>
    <col min="14" max="14" width="21.5703125" customWidth="1"/>
    <col min="15" max="15" width="21.85546875" customWidth="1"/>
    <col min="16" max="16" width="22" customWidth="1"/>
    <col min="17" max="17" width="23.42578125" customWidth="1"/>
    <col min="18" max="18" width="29.7109375" customWidth="1"/>
    <col min="19" max="19" width="17.85546875" customWidth="1"/>
    <col min="20" max="20" width="12.140625" customWidth="1"/>
    <col min="21" max="21" width="13.42578125" customWidth="1"/>
    <col min="22" max="22" width="11.85546875" customWidth="1"/>
    <col min="23" max="23" width="21" customWidth="1"/>
    <col min="24" max="24" width="22.85546875" customWidth="1"/>
  </cols>
  <sheetData>
    <row r="1" spans="1:26" ht="28.5" x14ac:dyDescent="0.45">
      <c r="A1" s="109" t="s">
        <v>143</v>
      </c>
      <c r="B1" s="109"/>
    </row>
    <row r="4" spans="1:26" x14ac:dyDescent="0.25">
      <c r="A4" s="67" t="s">
        <v>57</v>
      </c>
      <c r="B4" s="67" t="s">
        <v>76</v>
      </c>
      <c r="C4" s="67" t="s">
        <v>59</v>
      </c>
      <c r="D4" s="67" t="s">
        <v>60</v>
      </c>
      <c r="E4" s="67" t="s">
        <v>61</v>
      </c>
      <c r="F4" s="67" t="s">
        <v>70</v>
      </c>
      <c r="G4" s="67" t="s">
        <v>62</v>
      </c>
      <c r="H4" s="67" t="s">
        <v>71</v>
      </c>
      <c r="I4" s="67" t="s">
        <v>72</v>
      </c>
      <c r="J4" s="67" t="s">
        <v>63</v>
      </c>
      <c r="K4" s="67" t="s">
        <v>73</v>
      </c>
      <c r="L4" s="67" t="s">
        <v>75</v>
      </c>
    </row>
    <row r="5" spans="1:26" x14ac:dyDescent="0.25">
      <c r="A5" s="68" t="s">
        <v>107</v>
      </c>
      <c r="B5" s="69">
        <v>148.56666666666669</v>
      </c>
      <c r="C5" s="69">
        <v>145.85897435897434</v>
      </c>
      <c r="D5" s="69">
        <v>171.66666666666666</v>
      </c>
      <c r="E5" s="69">
        <v>149.30000000000001</v>
      </c>
      <c r="F5" s="69">
        <v>154.5</v>
      </c>
      <c r="G5" s="69">
        <v>147.9</v>
      </c>
      <c r="H5" s="69">
        <v>145.71666666666667</v>
      </c>
      <c r="I5" s="69">
        <v>151.33333333333334</v>
      </c>
      <c r="J5" s="69">
        <v>130.1</v>
      </c>
      <c r="K5" s="69">
        <v>150.43333333333331</v>
      </c>
      <c r="L5" s="69">
        <v>143.69999999999999</v>
      </c>
    </row>
    <row r="6" spans="1:26" x14ac:dyDescent="0.25">
      <c r="A6" s="68" t="s">
        <v>108</v>
      </c>
      <c r="B6" s="69">
        <v>150.16666666666666</v>
      </c>
      <c r="C6" s="69">
        <v>151.03012820512819</v>
      </c>
      <c r="D6" s="69">
        <v>177.93333333333337</v>
      </c>
      <c r="E6" s="69">
        <v>150.1</v>
      </c>
      <c r="F6" s="69">
        <v>155.37499999999997</v>
      </c>
      <c r="G6" s="69">
        <v>142.72499999999999</v>
      </c>
      <c r="H6" s="69">
        <v>147.31666666666669</v>
      </c>
      <c r="I6" s="69">
        <v>150.84166666666667</v>
      </c>
      <c r="J6" s="69">
        <v>132.66666666666666</v>
      </c>
      <c r="K6" s="69">
        <v>151.73416666666665</v>
      </c>
      <c r="L6" s="69">
        <v>145.29999999999998</v>
      </c>
    </row>
    <row r="7" spans="1:26" x14ac:dyDescent="0.25">
      <c r="A7" s="68" t="s">
        <v>86</v>
      </c>
      <c r="B7" s="69">
        <v>165.98148148148152</v>
      </c>
      <c r="C7" s="69">
        <v>166.93112535612539</v>
      </c>
      <c r="D7" s="69">
        <v>192.87592592592594</v>
      </c>
      <c r="E7" s="69">
        <v>166.98240740740746</v>
      </c>
      <c r="F7" s="69">
        <v>164.39999999999998</v>
      </c>
      <c r="G7" s="69">
        <v>164.18611111111116</v>
      </c>
      <c r="H7" s="69">
        <v>162.5296296296296</v>
      </c>
      <c r="I7" s="69">
        <v>169.2018518518519</v>
      </c>
      <c r="J7" s="69">
        <v>153.79166666666666</v>
      </c>
      <c r="K7" s="69">
        <v>162.92870370370372</v>
      </c>
      <c r="L7" s="69">
        <v>161.62129629629632</v>
      </c>
    </row>
    <row r="8" spans="1:26" x14ac:dyDescent="0.25">
      <c r="A8" s="68" t="s">
        <v>109</v>
      </c>
      <c r="B8" s="69">
        <v>128.27019607843141</v>
      </c>
      <c r="C8" s="69">
        <v>129.02205128205134</v>
      </c>
      <c r="D8" s="69">
        <v>139.31607843137263</v>
      </c>
      <c r="E8" s="69">
        <v>130.86588235294116</v>
      </c>
      <c r="F8" s="69">
        <v>128.23647058823522</v>
      </c>
      <c r="G8" s="69">
        <v>124.57568627450979</v>
      </c>
      <c r="H8" s="69">
        <v>123.24078431372554</v>
      </c>
      <c r="I8" s="69">
        <v>125.23568627450986</v>
      </c>
      <c r="J8" s="69">
        <v>115.86117647058819</v>
      </c>
      <c r="K8" s="69">
        <v>126.59450980392158</v>
      </c>
      <c r="L8" s="69">
        <v>122.52588235294117</v>
      </c>
    </row>
    <row r="9" spans="1:26" x14ac:dyDescent="0.25">
      <c r="A9" s="68" t="s">
        <v>58</v>
      </c>
      <c r="B9" s="69">
        <v>139.73548387096778</v>
      </c>
      <c r="C9" s="69">
        <v>140.51866211745258</v>
      </c>
      <c r="D9" s="69">
        <v>155.74946236559128</v>
      </c>
      <c r="E9" s="69">
        <v>141.81021505376347</v>
      </c>
      <c r="F9" s="69">
        <v>139.38508064516128</v>
      </c>
      <c r="G9" s="69">
        <v>136.55631720430114</v>
      </c>
      <c r="H9" s="69">
        <v>135.21680107526882</v>
      </c>
      <c r="I9" s="69">
        <v>138.62352150537635</v>
      </c>
      <c r="J9" s="69">
        <v>127.25913978494626</v>
      </c>
      <c r="K9" s="69">
        <v>137.74087365591396</v>
      </c>
      <c r="L9" s="69">
        <v>134.41424731182798</v>
      </c>
    </row>
    <row r="12" spans="1:26" ht="15.75" thickBot="1" x14ac:dyDescent="0.3"/>
    <row r="13" spans="1:26" ht="30" x14ac:dyDescent="0.3">
      <c r="A13" s="64" t="s">
        <v>57</v>
      </c>
      <c r="B13" s="64" t="s">
        <v>76</v>
      </c>
      <c r="C13" s="64" t="s">
        <v>59</v>
      </c>
      <c r="D13" s="64" t="s">
        <v>70</v>
      </c>
      <c r="E13" s="64" t="s">
        <v>72</v>
      </c>
      <c r="F13" s="64" t="s">
        <v>63</v>
      </c>
      <c r="H13" s="50" t="s">
        <v>49</v>
      </c>
      <c r="I13" s="51" t="s">
        <v>110</v>
      </c>
      <c r="J13" s="51" t="s">
        <v>111</v>
      </c>
      <c r="K13" s="51" t="s">
        <v>112</v>
      </c>
      <c r="L13" s="51" t="s">
        <v>113</v>
      </c>
      <c r="M13" s="51" t="s">
        <v>114</v>
      </c>
      <c r="N13" s="51" t="s">
        <v>118</v>
      </c>
      <c r="O13" s="51" t="s">
        <v>115</v>
      </c>
      <c r="P13" s="51" t="s">
        <v>116</v>
      </c>
      <c r="Q13" s="51" t="s">
        <v>119</v>
      </c>
      <c r="R13" s="51" t="s">
        <v>117</v>
      </c>
      <c r="S13" s="51" t="s">
        <v>120</v>
      </c>
      <c r="T13" s="51" t="s">
        <v>121</v>
      </c>
      <c r="U13" s="51" t="s">
        <v>122</v>
      </c>
      <c r="V13" s="51" t="s">
        <v>123</v>
      </c>
      <c r="W13" s="51" t="s">
        <v>124</v>
      </c>
      <c r="X13" s="52" t="s">
        <v>125</v>
      </c>
      <c r="Y13" s="44"/>
      <c r="Z13" s="45"/>
    </row>
    <row r="14" spans="1:26" x14ac:dyDescent="0.25">
      <c r="A14" s="65">
        <v>43101</v>
      </c>
      <c r="B14" s="66">
        <v>136.76666666666665</v>
      </c>
      <c r="C14" s="66">
        <v>136.63846153846154</v>
      </c>
      <c r="D14" s="66">
        <v>140.4</v>
      </c>
      <c r="E14" s="66">
        <v>132.76666666666668</v>
      </c>
      <c r="F14" s="66">
        <v>119.43333333333334</v>
      </c>
      <c r="H14" s="53">
        <v>43466</v>
      </c>
      <c r="I14" s="54">
        <f t="shared" ref="I14:I45" si="0">B26</f>
        <v>139.53333333333333</v>
      </c>
      <c r="J14" s="54">
        <f>B14</f>
        <v>136.76666666666665</v>
      </c>
      <c r="K14" s="55">
        <f>(I14/J14)-1</f>
        <v>2.0229100658055277E-2</v>
      </c>
      <c r="L14" s="54">
        <v>134.80256410256411</v>
      </c>
      <c r="M14" s="54">
        <v>136.63846153846154</v>
      </c>
      <c r="N14" s="55">
        <f>L14/M14-1</f>
        <v>-1.343616881532772E-2</v>
      </c>
      <c r="O14" s="56">
        <v>147.69999999999999</v>
      </c>
      <c r="P14" s="57">
        <v>140.4</v>
      </c>
      <c r="Q14" s="55">
        <f>O14/P14-1</f>
        <v>5.1994301994301884E-2</v>
      </c>
      <c r="R14" s="54">
        <v>144.16666666666666</v>
      </c>
      <c r="S14" s="54">
        <v>132.76666666666668</v>
      </c>
      <c r="T14" s="55">
        <f>R14/S14-1</f>
        <v>8.5864925935224434E-2</v>
      </c>
      <c r="U14" s="54">
        <v>123.5</v>
      </c>
      <c r="V14" s="54">
        <v>119.43333333333334</v>
      </c>
      <c r="W14" s="55">
        <f>U14/V14-1</f>
        <v>3.4049679039910741E-2</v>
      </c>
      <c r="X14" s="58" t="s">
        <v>109</v>
      </c>
    </row>
    <row r="15" spans="1:26" x14ac:dyDescent="0.25">
      <c r="A15" s="65">
        <v>43132</v>
      </c>
      <c r="B15" s="66">
        <v>136.29999999999998</v>
      </c>
      <c r="C15" s="66">
        <v>135.12307692307692</v>
      </c>
      <c r="D15" s="66">
        <v>141.30000000000001</v>
      </c>
      <c r="E15" s="66">
        <v>133.26666666666668</v>
      </c>
      <c r="F15" s="66">
        <v>120.3</v>
      </c>
      <c r="H15" s="53">
        <v>43497</v>
      </c>
      <c r="I15" s="54">
        <f t="shared" si="0"/>
        <v>139.83333333333334</v>
      </c>
      <c r="J15" s="54">
        <f t="shared" ref="J15:J65" si="1">B15</f>
        <v>136.29999999999998</v>
      </c>
      <c r="K15" s="55">
        <f t="shared" ref="K15:K65" si="2">(I15/J15)-1</f>
        <v>2.5923208608461978E-2</v>
      </c>
      <c r="L15" s="54">
        <v>135.16153846153847</v>
      </c>
      <c r="M15" s="54">
        <v>135.12307692307692</v>
      </c>
      <c r="N15" s="55">
        <f t="shared" ref="N15:N65" si="3">L15/M15-1</f>
        <v>2.8464078333145792E-4</v>
      </c>
      <c r="O15" s="54">
        <v>148.5</v>
      </c>
      <c r="P15" s="57">
        <v>141.30000000000001</v>
      </c>
      <c r="Q15" s="55">
        <f t="shared" ref="Q15:Q65" si="4">O15/P15-1</f>
        <v>5.0955414012738842E-2</v>
      </c>
      <c r="R15" s="54">
        <v>144.66666666666666</v>
      </c>
      <c r="S15" s="54">
        <v>133.26666666666668</v>
      </c>
      <c r="T15" s="55">
        <f t="shared" ref="T15:T65" si="5">R15/S15-1</f>
        <v>8.5542771385692662E-2</v>
      </c>
      <c r="U15" s="54">
        <v>124.10000000000001</v>
      </c>
      <c r="V15" s="54">
        <v>120.3</v>
      </c>
      <c r="W15" s="55">
        <f t="shared" ref="W15:W65" si="6">U15/V15-1</f>
        <v>3.1587697423109073E-2</v>
      </c>
      <c r="X15" s="58" t="s">
        <v>109</v>
      </c>
    </row>
    <row r="16" spans="1:26" x14ac:dyDescent="0.25">
      <c r="A16" s="65">
        <v>43160</v>
      </c>
      <c r="B16" s="66">
        <v>136.4</v>
      </c>
      <c r="C16" s="66">
        <v>134.7051282051282</v>
      </c>
      <c r="D16" s="66">
        <v>142</v>
      </c>
      <c r="E16" s="66">
        <v>133.83333333333334</v>
      </c>
      <c r="F16" s="66">
        <v>121.13333333333333</v>
      </c>
      <c r="H16" s="53">
        <v>43525</v>
      </c>
      <c r="I16" s="54">
        <f t="shared" si="0"/>
        <v>140.36666666666665</v>
      </c>
      <c r="J16" s="54">
        <f t="shared" si="1"/>
        <v>136.4</v>
      </c>
      <c r="K16" s="55">
        <f t="shared" si="2"/>
        <v>2.9081133919843349E-2</v>
      </c>
      <c r="L16" s="54">
        <v>135.7051282051282</v>
      </c>
      <c r="M16" s="54">
        <v>134.7051282051282</v>
      </c>
      <c r="N16" s="55">
        <f t="shared" si="3"/>
        <v>7.4236223470067753E-3</v>
      </c>
      <c r="O16" s="54">
        <v>149</v>
      </c>
      <c r="P16" s="57">
        <v>142</v>
      </c>
      <c r="Q16" s="55">
        <f t="shared" si="4"/>
        <v>4.9295774647887258E-2</v>
      </c>
      <c r="R16" s="54">
        <v>145.26666666666665</v>
      </c>
      <c r="S16" s="54">
        <v>133.83333333333334</v>
      </c>
      <c r="T16" s="55">
        <f t="shared" si="5"/>
        <v>8.5429638854296108E-2</v>
      </c>
      <c r="U16" s="54">
        <v>124.8</v>
      </c>
      <c r="V16" s="54">
        <v>121.13333333333333</v>
      </c>
      <c r="W16" s="55">
        <f t="shared" si="6"/>
        <v>3.0269675288937758E-2</v>
      </c>
      <c r="X16" s="58" t="s">
        <v>109</v>
      </c>
    </row>
    <row r="17" spans="1:24" x14ac:dyDescent="0.25">
      <c r="A17" s="65">
        <v>43191</v>
      </c>
      <c r="B17" s="66">
        <v>137</v>
      </c>
      <c r="C17" s="66">
        <v>134.79743589743592</v>
      </c>
      <c r="D17" s="66">
        <v>142.9</v>
      </c>
      <c r="E17" s="66">
        <v>134.69999999999999</v>
      </c>
      <c r="F17" s="66">
        <v>122.03333333333335</v>
      </c>
      <c r="H17" s="53">
        <v>43586</v>
      </c>
      <c r="I17" s="54">
        <f t="shared" si="0"/>
        <v>141.96666666666667</v>
      </c>
      <c r="J17" s="54">
        <f t="shared" si="1"/>
        <v>137</v>
      </c>
      <c r="K17" s="55">
        <f t="shared" si="2"/>
        <v>3.625304136253038E-2</v>
      </c>
      <c r="L17" s="54">
        <v>138.08974358974362</v>
      </c>
      <c r="M17" s="54">
        <v>134.79743589743592</v>
      </c>
      <c r="N17" s="55">
        <f t="shared" si="3"/>
        <v>2.4424112153088373E-2</v>
      </c>
      <c r="O17" s="54">
        <v>150.1</v>
      </c>
      <c r="P17" s="57">
        <v>142.9</v>
      </c>
      <c r="Q17" s="55">
        <f t="shared" si="4"/>
        <v>5.0384884534639518E-2</v>
      </c>
      <c r="R17" s="54">
        <v>146.00000000000003</v>
      </c>
      <c r="S17" s="54">
        <v>134.69999999999999</v>
      </c>
      <c r="T17" s="55">
        <f t="shared" si="5"/>
        <v>8.3890126206384918E-2</v>
      </c>
      <c r="U17" s="54">
        <v>125.06666666666666</v>
      </c>
      <c r="V17" s="54">
        <v>122.03333333333335</v>
      </c>
      <c r="W17" s="55">
        <f t="shared" si="6"/>
        <v>2.4856596558317179E-2</v>
      </c>
      <c r="X17" s="58" t="s">
        <v>109</v>
      </c>
    </row>
    <row r="18" spans="1:24" x14ac:dyDescent="0.25">
      <c r="A18" s="65">
        <v>43221</v>
      </c>
      <c r="B18" s="66">
        <v>137.66666666666669</v>
      </c>
      <c r="C18" s="66">
        <v>135.00256410256409</v>
      </c>
      <c r="D18" s="66">
        <v>143.19999999999999</v>
      </c>
      <c r="E18" s="66">
        <v>135.46666666666667</v>
      </c>
      <c r="F18" s="66">
        <v>123.03333333333335</v>
      </c>
      <c r="H18" s="53">
        <v>43617</v>
      </c>
      <c r="I18" s="54">
        <f t="shared" si="0"/>
        <v>142.86666666666667</v>
      </c>
      <c r="J18" s="54">
        <f t="shared" si="1"/>
        <v>137.66666666666669</v>
      </c>
      <c r="K18" s="55">
        <f t="shared" si="2"/>
        <v>3.777239709443081E-2</v>
      </c>
      <c r="L18" s="54">
        <v>139.78461538461536</v>
      </c>
      <c r="M18" s="54">
        <v>135.00256410256409</v>
      </c>
      <c r="N18" s="55">
        <f t="shared" si="3"/>
        <v>3.5421929308085298E-2</v>
      </c>
      <c r="O18" s="54">
        <v>149.4</v>
      </c>
      <c r="P18" s="57">
        <v>143.19999999999999</v>
      </c>
      <c r="Q18" s="55">
        <f t="shared" si="4"/>
        <v>4.3296089385475023E-2</v>
      </c>
      <c r="R18" s="54">
        <v>146.46666666666667</v>
      </c>
      <c r="S18" s="54">
        <v>135.46666666666667</v>
      </c>
      <c r="T18" s="55">
        <f t="shared" si="5"/>
        <v>8.120078740157477E-2</v>
      </c>
      <c r="U18" s="54">
        <v>124.8</v>
      </c>
      <c r="V18" s="54">
        <v>123.03333333333335</v>
      </c>
      <c r="W18" s="55">
        <f t="shared" si="6"/>
        <v>1.4359252235166542E-2</v>
      </c>
      <c r="X18" s="58" t="s">
        <v>109</v>
      </c>
    </row>
    <row r="19" spans="1:24" x14ac:dyDescent="0.25">
      <c r="A19" s="65">
        <v>43252</v>
      </c>
      <c r="B19" s="66">
        <v>138.4</v>
      </c>
      <c r="C19" s="66">
        <v>136.19743589743589</v>
      </c>
      <c r="D19" s="66">
        <v>142.5</v>
      </c>
      <c r="E19" s="66">
        <v>135.73333333333332</v>
      </c>
      <c r="F19" s="66">
        <v>123.83333333333333</v>
      </c>
      <c r="H19" s="53">
        <v>43647</v>
      </c>
      <c r="I19" s="54">
        <f t="shared" si="0"/>
        <v>144.13333333333333</v>
      </c>
      <c r="J19" s="54">
        <f t="shared" si="1"/>
        <v>138.4</v>
      </c>
      <c r="K19" s="55">
        <f t="shared" si="2"/>
        <v>4.1425818882466103E-2</v>
      </c>
      <c r="L19" s="54">
        <v>141.58461538461538</v>
      </c>
      <c r="M19" s="54">
        <v>136.19743589743589</v>
      </c>
      <c r="N19" s="55">
        <f t="shared" si="3"/>
        <v>3.9554191690042595E-2</v>
      </c>
      <c r="O19" s="54">
        <v>150.6</v>
      </c>
      <c r="P19" s="57">
        <v>142.5</v>
      </c>
      <c r="Q19" s="55">
        <f t="shared" si="4"/>
        <v>5.6842105263157805E-2</v>
      </c>
      <c r="R19" s="54">
        <v>146.96666666666667</v>
      </c>
      <c r="S19" s="54">
        <v>135.73333333333332</v>
      </c>
      <c r="T19" s="55">
        <f t="shared" si="5"/>
        <v>8.2760314341846941E-2</v>
      </c>
      <c r="U19" s="54">
        <v>125.8</v>
      </c>
      <c r="V19" s="54">
        <v>123.83333333333333</v>
      </c>
      <c r="W19" s="55">
        <f t="shared" si="6"/>
        <v>1.5881561238223485E-2</v>
      </c>
      <c r="X19" s="58" t="s">
        <v>109</v>
      </c>
    </row>
    <row r="20" spans="1:24" x14ac:dyDescent="0.25">
      <c r="A20" s="65">
        <v>43282</v>
      </c>
      <c r="B20" s="66">
        <v>139.70000000000002</v>
      </c>
      <c r="C20" s="66">
        <v>137.86923076923077</v>
      </c>
      <c r="D20" s="66">
        <v>143.6</v>
      </c>
      <c r="E20" s="66">
        <v>136.53333333333333</v>
      </c>
      <c r="F20" s="66">
        <v>123.73333333333333</v>
      </c>
      <c r="H20" s="53">
        <v>43678</v>
      </c>
      <c r="I20" s="54">
        <f t="shared" si="0"/>
        <v>144.96666666666667</v>
      </c>
      <c r="J20" s="54">
        <f t="shared" si="1"/>
        <v>139.70000000000002</v>
      </c>
      <c r="K20" s="55">
        <f t="shared" si="2"/>
        <v>3.7699832975423453E-2</v>
      </c>
      <c r="L20" s="54">
        <v>142.31025641025641</v>
      </c>
      <c r="M20" s="54">
        <v>137.86923076923077</v>
      </c>
      <c r="N20" s="55">
        <f t="shared" si="3"/>
        <v>3.2211869292715134E-2</v>
      </c>
      <c r="O20" s="54">
        <v>151.6</v>
      </c>
      <c r="P20" s="57">
        <v>143.6</v>
      </c>
      <c r="Q20" s="55">
        <f t="shared" si="4"/>
        <v>5.5710306406685284E-2</v>
      </c>
      <c r="R20" s="54">
        <v>147.56666666666666</v>
      </c>
      <c r="S20" s="54">
        <v>136.53333333333333</v>
      </c>
      <c r="T20" s="55">
        <f t="shared" si="5"/>
        <v>8.0810546875E-2</v>
      </c>
      <c r="U20" s="54">
        <v>126</v>
      </c>
      <c r="V20" s="54">
        <v>123.73333333333333</v>
      </c>
      <c r="W20" s="55">
        <f t="shared" si="6"/>
        <v>1.8318965517241326E-2</v>
      </c>
      <c r="X20" s="58" t="s">
        <v>109</v>
      </c>
    </row>
    <row r="21" spans="1:24" x14ac:dyDescent="0.25">
      <c r="A21" s="65">
        <v>43313</v>
      </c>
      <c r="B21" s="66">
        <v>140.29999999999998</v>
      </c>
      <c r="C21" s="66">
        <v>138.07948717948719</v>
      </c>
      <c r="D21" s="66">
        <v>144.6</v>
      </c>
      <c r="E21" s="66">
        <v>137.33333333333334</v>
      </c>
      <c r="F21" s="66">
        <v>124.43333333333334</v>
      </c>
      <c r="H21" s="53">
        <v>43709</v>
      </c>
      <c r="I21" s="54">
        <f t="shared" si="0"/>
        <v>145.73333333333332</v>
      </c>
      <c r="J21" s="54">
        <f t="shared" si="1"/>
        <v>140.29999999999998</v>
      </c>
      <c r="K21" s="55">
        <f t="shared" si="2"/>
        <v>3.8726538370159158E-2</v>
      </c>
      <c r="L21" s="54">
        <v>143.1102564102564</v>
      </c>
      <c r="M21" s="54">
        <v>138.07948717948719</v>
      </c>
      <c r="N21" s="55">
        <f t="shared" si="3"/>
        <v>3.6433863809399947E-2</v>
      </c>
      <c r="O21" s="54">
        <v>152.19999999999999</v>
      </c>
      <c r="P21" s="57">
        <v>144.6</v>
      </c>
      <c r="Q21" s="55">
        <f t="shared" si="4"/>
        <v>5.2558782849239316E-2</v>
      </c>
      <c r="R21" s="54">
        <v>148.1</v>
      </c>
      <c r="S21" s="54">
        <v>137.33333333333334</v>
      </c>
      <c r="T21" s="55">
        <f t="shared" si="5"/>
        <v>7.8398058252427072E-2</v>
      </c>
      <c r="U21" s="54">
        <v>126.3</v>
      </c>
      <c r="V21" s="54">
        <v>124.43333333333334</v>
      </c>
      <c r="W21" s="55">
        <f t="shared" si="6"/>
        <v>1.5001339405303904E-2</v>
      </c>
      <c r="X21" s="58" t="s">
        <v>109</v>
      </c>
    </row>
    <row r="22" spans="1:24" x14ac:dyDescent="0.25">
      <c r="A22" s="65">
        <v>43344</v>
      </c>
      <c r="B22" s="66">
        <v>140.13333333333333</v>
      </c>
      <c r="C22" s="66">
        <v>136.6076923076923</v>
      </c>
      <c r="D22" s="66">
        <v>145.30000000000001</v>
      </c>
      <c r="E22" s="66">
        <v>138.03333333333333</v>
      </c>
      <c r="F22" s="66">
        <v>126.13333333333333</v>
      </c>
      <c r="H22" s="53">
        <v>43739</v>
      </c>
      <c r="I22" s="54">
        <f t="shared" si="0"/>
        <v>147.16666666666666</v>
      </c>
      <c r="J22" s="54">
        <f t="shared" si="1"/>
        <v>140.13333333333333</v>
      </c>
      <c r="K22" s="55">
        <f t="shared" si="2"/>
        <v>5.0190294957183523E-2</v>
      </c>
      <c r="L22" s="54">
        <v>145.25897435897434</v>
      </c>
      <c r="M22" s="54">
        <v>136.6076923076923</v>
      </c>
      <c r="N22" s="55">
        <f t="shared" si="3"/>
        <v>6.3329391669951329E-2</v>
      </c>
      <c r="O22" s="54">
        <v>153</v>
      </c>
      <c r="P22" s="57">
        <v>145.30000000000001</v>
      </c>
      <c r="Q22" s="55">
        <f t="shared" si="4"/>
        <v>5.2993805918788661E-2</v>
      </c>
      <c r="R22" s="54">
        <v>148.5</v>
      </c>
      <c r="S22" s="54">
        <v>138.03333333333333</v>
      </c>
      <c r="T22" s="55">
        <f t="shared" si="5"/>
        <v>7.582709490461248E-2</v>
      </c>
      <c r="U22" s="54">
        <v>126.5</v>
      </c>
      <c r="V22" s="54">
        <v>126.13333333333333</v>
      </c>
      <c r="W22" s="55">
        <f t="shared" si="6"/>
        <v>2.9069767441860517E-3</v>
      </c>
      <c r="X22" s="58" t="s">
        <v>109</v>
      </c>
    </row>
    <row r="23" spans="1:24" x14ac:dyDescent="0.25">
      <c r="A23" s="65">
        <v>43374</v>
      </c>
      <c r="B23" s="66">
        <v>140.63333333333335</v>
      </c>
      <c r="C23" s="66">
        <v>136.21794871794873</v>
      </c>
      <c r="D23" s="66">
        <v>146.70000000000002</v>
      </c>
      <c r="E23" s="66">
        <v>141.03333333333333</v>
      </c>
      <c r="F23" s="66">
        <v>126.53333333333335</v>
      </c>
      <c r="H23" s="53">
        <v>43770</v>
      </c>
      <c r="I23" s="54">
        <f t="shared" si="0"/>
        <v>148.5</v>
      </c>
      <c r="J23" s="54">
        <f t="shared" si="1"/>
        <v>140.63333333333335</v>
      </c>
      <c r="K23" s="55">
        <f t="shared" si="2"/>
        <v>5.5937425930315143E-2</v>
      </c>
      <c r="L23" s="54">
        <v>147.16666666666666</v>
      </c>
      <c r="M23" s="54">
        <v>136.21794871794873</v>
      </c>
      <c r="N23" s="55">
        <f t="shared" si="3"/>
        <v>8.0376470588235049E-2</v>
      </c>
      <c r="O23" s="54">
        <v>153.5</v>
      </c>
      <c r="P23" s="57">
        <v>146.70000000000002</v>
      </c>
      <c r="Q23" s="55">
        <f t="shared" si="4"/>
        <v>4.635310156782535E-2</v>
      </c>
      <c r="R23" s="54">
        <v>149.00000000000003</v>
      </c>
      <c r="S23" s="54">
        <v>141.03333333333333</v>
      </c>
      <c r="T23" s="55">
        <f t="shared" si="5"/>
        <v>5.6487827936658297E-2</v>
      </c>
      <c r="U23" s="54">
        <v>126.8</v>
      </c>
      <c r="V23" s="54">
        <v>126.53333333333335</v>
      </c>
      <c r="W23" s="55">
        <f t="shared" si="6"/>
        <v>2.1074815595363283E-3</v>
      </c>
      <c r="X23" s="58" t="s">
        <v>109</v>
      </c>
    </row>
    <row r="24" spans="1:24" x14ac:dyDescent="0.25">
      <c r="A24" s="65">
        <v>43405</v>
      </c>
      <c r="B24" s="66">
        <v>140.73333333333335</v>
      </c>
      <c r="C24" s="66">
        <v>136.42820512820512</v>
      </c>
      <c r="D24" s="66">
        <v>146.9</v>
      </c>
      <c r="E24" s="66">
        <v>141.43333333333331</v>
      </c>
      <c r="F24" s="66">
        <v>125.66666666666667</v>
      </c>
      <c r="H24" s="53">
        <v>43800</v>
      </c>
      <c r="I24" s="54">
        <f t="shared" si="0"/>
        <v>150.33333333333334</v>
      </c>
      <c r="J24" s="54">
        <f t="shared" si="1"/>
        <v>140.73333333333335</v>
      </c>
      <c r="K24" s="55">
        <f t="shared" si="2"/>
        <v>6.8214116532449021E-2</v>
      </c>
      <c r="L24" s="54">
        <v>149.84102564102565</v>
      </c>
      <c r="M24" s="54">
        <v>136.42820512820512</v>
      </c>
      <c r="N24" s="55">
        <f t="shared" si="3"/>
        <v>9.8314131599225751E-2</v>
      </c>
      <c r="O24" s="54">
        <v>152.80000000000001</v>
      </c>
      <c r="P24" s="57">
        <v>146.9</v>
      </c>
      <c r="Q24" s="55">
        <f t="shared" si="4"/>
        <v>4.0163376446562316E-2</v>
      </c>
      <c r="R24" s="54">
        <v>149.46666666666667</v>
      </c>
      <c r="S24" s="54">
        <v>141.43333333333331</v>
      </c>
      <c r="T24" s="55">
        <f t="shared" si="5"/>
        <v>5.6799434362479584E-2</v>
      </c>
      <c r="U24" s="54">
        <v>130</v>
      </c>
      <c r="V24" s="54">
        <v>125.66666666666667</v>
      </c>
      <c r="W24" s="55">
        <f t="shared" si="6"/>
        <v>3.4482758620689724E-2</v>
      </c>
      <c r="X24" s="58" t="s">
        <v>109</v>
      </c>
    </row>
    <row r="25" spans="1:24" x14ac:dyDescent="0.25">
      <c r="A25" s="65">
        <v>43435</v>
      </c>
      <c r="B25" s="66">
        <v>140</v>
      </c>
      <c r="C25" s="66">
        <v>135.44871794871793</v>
      </c>
      <c r="D25" s="66">
        <v>146.5</v>
      </c>
      <c r="E25" s="66">
        <v>143.93333333333337</v>
      </c>
      <c r="F25" s="66">
        <v>123.76666666666665</v>
      </c>
      <c r="H25" s="53">
        <v>43831</v>
      </c>
      <c r="I25" s="54">
        <f t="shared" si="0"/>
        <v>150.1</v>
      </c>
      <c r="J25" s="54">
        <f t="shared" si="1"/>
        <v>140</v>
      </c>
      <c r="K25" s="55">
        <f t="shared" si="2"/>
        <v>7.2142857142857064E-2</v>
      </c>
      <c r="L25" s="54">
        <v>149.34358974358975</v>
      </c>
      <c r="M25" s="54">
        <v>135.44871794871793</v>
      </c>
      <c r="N25" s="55">
        <f t="shared" si="3"/>
        <v>0.10258400378608634</v>
      </c>
      <c r="O25" s="54">
        <v>153.9</v>
      </c>
      <c r="P25" s="57">
        <v>146.5</v>
      </c>
      <c r="Q25" s="55">
        <f t="shared" si="4"/>
        <v>5.0511945392491597E-2</v>
      </c>
      <c r="R25" s="54">
        <v>150.23333333333332</v>
      </c>
      <c r="S25" s="54">
        <v>143.93333333333337</v>
      </c>
      <c r="T25" s="55">
        <f t="shared" si="5"/>
        <v>4.3770264011115945E-2</v>
      </c>
      <c r="U25" s="54">
        <v>131.1</v>
      </c>
      <c r="V25" s="54">
        <v>123.76666666666665</v>
      </c>
      <c r="W25" s="55">
        <f t="shared" si="6"/>
        <v>5.9251279288984771E-2</v>
      </c>
      <c r="X25" s="58" t="s">
        <v>109</v>
      </c>
    </row>
    <row r="26" spans="1:24" x14ac:dyDescent="0.25">
      <c r="A26" s="65">
        <v>43466</v>
      </c>
      <c r="B26" s="66">
        <v>139.53333333333333</v>
      </c>
      <c r="C26" s="66">
        <v>134.80256410256411</v>
      </c>
      <c r="D26" s="66">
        <v>147.69999999999999</v>
      </c>
      <c r="E26" s="66">
        <v>144.16666666666666</v>
      </c>
      <c r="F26" s="66">
        <v>123.5</v>
      </c>
      <c r="H26" s="53">
        <v>43862</v>
      </c>
      <c r="I26" s="54">
        <f t="shared" si="0"/>
        <v>149.06666666666663</v>
      </c>
      <c r="J26" s="54">
        <f t="shared" si="1"/>
        <v>139.53333333333333</v>
      </c>
      <c r="K26" s="55">
        <f t="shared" si="2"/>
        <v>6.8322981366459423E-2</v>
      </c>
      <c r="L26" s="54">
        <v>147.12820512820511</v>
      </c>
      <c r="M26" s="54">
        <v>134.80256410256411</v>
      </c>
      <c r="N26" s="55">
        <f t="shared" si="3"/>
        <v>9.1434766895554631E-2</v>
      </c>
      <c r="O26" s="54">
        <v>154.80000000000001</v>
      </c>
      <c r="P26" s="57">
        <v>147.69999999999999</v>
      </c>
      <c r="Q26" s="55">
        <f t="shared" si="4"/>
        <v>4.807041299932302E-2</v>
      </c>
      <c r="R26" s="54">
        <v>150.76666666666668</v>
      </c>
      <c r="S26" s="54">
        <v>144.16666666666666</v>
      </c>
      <c r="T26" s="55">
        <f t="shared" si="5"/>
        <v>4.5780346820809337E-2</v>
      </c>
      <c r="U26" s="54">
        <v>130.5</v>
      </c>
      <c r="V26" s="54">
        <v>123.5</v>
      </c>
      <c r="W26" s="55">
        <f t="shared" si="6"/>
        <v>5.6680161943319929E-2</v>
      </c>
      <c r="X26" s="58" t="s">
        <v>109</v>
      </c>
    </row>
    <row r="27" spans="1:24" x14ac:dyDescent="0.25">
      <c r="A27" s="65">
        <v>43497</v>
      </c>
      <c r="B27" s="66">
        <v>139.83333333333334</v>
      </c>
      <c r="C27" s="66">
        <v>135.16153846153847</v>
      </c>
      <c r="D27" s="66">
        <v>148.5</v>
      </c>
      <c r="E27" s="66">
        <v>144.66666666666666</v>
      </c>
      <c r="F27" s="66">
        <v>124.10000000000001</v>
      </c>
      <c r="G27" s="47"/>
      <c r="H27" s="53">
        <v>43891</v>
      </c>
      <c r="I27" s="54">
        <f t="shared" si="0"/>
        <v>148.56666666666666</v>
      </c>
      <c r="J27" s="54">
        <f t="shared" si="1"/>
        <v>139.83333333333334</v>
      </c>
      <c r="K27" s="55">
        <f t="shared" si="2"/>
        <v>6.2455303933253825E-2</v>
      </c>
      <c r="L27" s="54">
        <v>145.85897435897436</v>
      </c>
      <c r="M27" s="54">
        <v>135.16153846153847</v>
      </c>
      <c r="N27" s="55">
        <f t="shared" si="3"/>
        <v>7.9145561815870735E-2</v>
      </c>
      <c r="O27" s="54">
        <v>154.5</v>
      </c>
      <c r="P27" s="57">
        <v>148.5</v>
      </c>
      <c r="Q27" s="55">
        <f t="shared" si="4"/>
        <v>4.0404040404040442E-2</v>
      </c>
      <c r="R27" s="54">
        <v>151.33333333333334</v>
      </c>
      <c r="S27" s="54">
        <v>144.66666666666666</v>
      </c>
      <c r="T27" s="55">
        <f t="shared" si="5"/>
        <v>4.6082949308756005E-2</v>
      </c>
      <c r="U27" s="54">
        <v>130.1</v>
      </c>
      <c r="V27" s="54">
        <v>124.10000000000001</v>
      </c>
      <c r="W27" s="55">
        <f t="shared" si="6"/>
        <v>4.8348106365833976E-2</v>
      </c>
      <c r="X27" s="58" t="s">
        <v>107</v>
      </c>
    </row>
    <row r="28" spans="1:24" x14ac:dyDescent="0.25">
      <c r="A28" s="65">
        <v>43525</v>
      </c>
      <c r="B28" s="66">
        <v>140.36666666666665</v>
      </c>
      <c r="C28" s="66">
        <v>135.7051282051282</v>
      </c>
      <c r="D28" s="66">
        <v>149</v>
      </c>
      <c r="E28" s="66">
        <v>145.26666666666665</v>
      </c>
      <c r="F28" s="66">
        <v>124.8</v>
      </c>
      <c r="H28" s="53">
        <v>43922</v>
      </c>
      <c r="I28" s="54">
        <f t="shared" si="0"/>
        <v>149.63333333333333</v>
      </c>
      <c r="J28" s="54">
        <f t="shared" si="1"/>
        <v>140.36666666666665</v>
      </c>
      <c r="K28" s="55">
        <f t="shared" si="2"/>
        <v>6.6017573023035014E-2</v>
      </c>
      <c r="L28" s="54">
        <v>150.83666666666667</v>
      </c>
      <c r="M28" s="54">
        <v>135.7051282051282</v>
      </c>
      <c r="N28" s="55">
        <f t="shared" si="3"/>
        <v>0.11150307038261698</v>
      </c>
      <c r="O28" s="54">
        <v>155.6</v>
      </c>
      <c r="P28" s="57">
        <v>149</v>
      </c>
      <c r="Q28" s="55">
        <f t="shared" si="4"/>
        <v>4.4295302013422688E-2</v>
      </c>
      <c r="R28" s="54">
        <v>149.93333333333334</v>
      </c>
      <c r="S28" s="54">
        <v>145.26666666666665</v>
      </c>
      <c r="T28" s="55">
        <f t="shared" si="5"/>
        <v>3.2124827902707764E-2</v>
      </c>
      <c r="U28" s="54">
        <v>131.8133333333333</v>
      </c>
      <c r="V28" s="54">
        <v>124.8</v>
      </c>
      <c r="W28" s="55">
        <f t="shared" si="6"/>
        <v>5.6196581196580997E-2</v>
      </c>
      <c r="X28" s="58" t="s">
        <v>108</v>
      </c>
    </row>
    <row r="29" spans="1:24" x14ac:dyDescent="0.25">
      <c r="A29" s="65">
        <v>43586</v>
      </c>
      <c r="B29" s="66">
        <v>141.96666666666667</v>
      </c>
      <c r="C29" s="66">
        <v>138.08974358974362</v>
      </c>
      <c r="D29" s="66">
        <v>150.1</v>
      </c>
      <c r="E29" s="66">
        <v>146.00000000000003</v>
      </c>
      <c r="F29" s="66">
        <v>125.06666666666666</v>
      </c>
      <c r="H29" s="53">
        <v>43952</v>
      </c>
      <c r="I29" s="54">
        <f t="shared" si="0"/>
        <v>150.70000000000002</v>
      </c>
      <c r="J29" s="54">
        <f t="shared" si="1"/>
        <v>141.96666666666667</v>
      </c>
      <c r="K29" s="55">
        <f t="shared" si="2"/>
        <v>6.1516787978398879E-2</v>
      </c>
      <c r="L29" s="54">
        <v>151.22358974358977</v>
      </c>
      <c r="M29" s="54">
        <v>138.08974358974362</v>
      </c>
      <c r="N29" s="55">
        <f t="shared" si="3"/>
        <v>9.5110946058861723E-2</v>
      </c>
      <c r="O29" s="54">
        <v>155.15</v>
      </c>
      <c r="P29" s="57">
        <v>150.1</v>
      </c>
      <c r="Q29" s="55">
        <f t="shared" si="4"/>
        <v>3.3644237175216585E-2</v>
      </c>
      <c r="R29" s="54">
        <v>151.75</v>
      </c>
      <c r="S29" s="54">
        <v>146.00000000000003</v>
      </c>
      <c r="T29" s="55">
        <f t="shared" si="5"/>
        <v>3.9383561643835385E-2</v>
      </c>
      <c r="U29" s="54">
        <v>133.52000000000001</v>
      </c>
      <c r="V29" s="54">
        <v>125.06666666666666</v>
      </c>
      <c r="W29" s="55">
        <f t="shared" si="6"/>
        <v>6.7590618336887065E-2</v>
      </c>
      <c r="X29" s="58" t="s">
        <v>108</v>
      </c>
    </row>
    <row r="30" spans="1:24" x14ac:dyDescent="0.25">
      <c r="A30" s="65">
        <v>43617</v>
      </c>
      <c r="B30" s="66">
        <v>142.86666666666667</v>
      </c>
      <c r="C30" s="66">
        <v>139.78461538461536</v>
      </c>
      <c r="D30" s="66">
        <v>149.4</v>
      </c>
      <c r="E30" s="66">
        <v>146.46666666666667</v>
      </c>
      <c r="F30" s="66">
        <v>124.8</v>
      </c>
      <c r="H30" s="53">
        <v>43983</v>
      </c>
      <c r="I30" s="54">
        <f t="shared" si="0"/>
        <v>151.76666666666668</v>
      </c>
      <c r="J30" s="54">
        <f t="shared" si="1"/>
        <v>142.86666666666667</v>
      </c>
      <c r="K30" s="55">
        <f t="shared" si="2"/>
        <v>6.229584694353707E-2</v>
      </c>
      <c r="L30" s="54">
        <v>151.6102564102564</v>
      </c>
      <c r="M30" s="54">
        <v>139.78461538461536</v>
      </c>
      <c r="N30" s="55">
        <f t="shared" si="3"/>
        <v>8.4599016802406668E-2</v>
      </c>
      <c r="O30" s="54">
        <v>154.69999999999999</v>
      </c>
      <c r="P30" s="57">
        <v>149.4</v>
      </c>
      <c r="Q30" s="55">
        <f t="shared" si="4"/>
        <v>3.5475234270414768E-2</v>
      </c>
      <c r="R30" s="54">
        <v>153.56666666666666</v>
      </c>
      <c r="S30" s="54">
        <v>146.46666666666667</v>
      </c>
      <c r="T30" s="55">
        <f t="shared" si="5"/>
        <v>4.8475193445607578E-2</v>
      </c>
      <c r="U30" s="54">
        <v>135.23333333333335</v>
      </c>
      <c r="V30" s="54">
        <v>124.8</v>
      </c>
      <c r="W30" s="55">
        <f t="shared" si="6"/>
        <v>8.3600427350427386E-2</v>
      </c>
      <c r="X30" s="58" t="s">
        <v>86</v>
      </c>
    </row>
    <row r="31" spans="1:24" x14ac:dyDescent="0.25">
      <c r="A31" s="65">
        <v>43647</v>
      </c>
      <c r="B31" s="66">
        <v>144.13333333333333</v>
      </c>
      <c r="C31" s="66">
        <v>141.58461538461538</v>
      </c>
      <c r="D31" s="66">
        <v>150.6</v>
      </c>
      <c r="E31" s="66">
        <v>146.96666666666667</v>
      </c>
      <c r="F31" s="66">
        <v>125.8</v>
      </c>
      <c r="H31" s="53">
        <v>44013</v>
      </c>
      <c r="I31" s="54">
        <f t="shared" si="0"/>
        <v>151.76666666666668</v>
      </c>
      <c r="J31" s="54">
        <f t="shared" si="1"/>
        <v>144.13333333333333</v>
      </c>
      <c r="K31" s="55">
        <f t="shared" si="2"/>
        <v>5.2960222016651404E-2</v>
      </c>
      <c r="L31" s="54">
        <v>151.6102564102564</v>
      </c>
      <c r="M31" s="54">
        <v>141.58461538461538</v>
      </c>
      <c r="N31" s="55">
        <f t="shared" si="3"/>
        <v>7.0810243036690812E-2</v>
      </c>
      <c r="O31" s="54">
        <v>154.69999999999999</v>
      </c>
      <c r="P31" s="57">
        <v>150.6</v>
      </c>
      <c r="Q31" s="55">
        <f t="shared" si="4"/>
        <v>2.7224435590969431E-2</v>
      </c>
      <c r="R31" s="54">
        <v>153.56666666666666</v>
      </c>
      <c r="S31" s="54">
        <v>146.96666666666667</v>
      </c>
      <c r="T31" s="55">
        <f t="shared" si="5"/>
        <v>4.4908142435926557E-2</v>
      </c>
      <c r="U31" s="54">
        <v>135.23333333333335</v>
      </c>
      <c r="V31" s="54">
        <v>125.8</v>
      </c>
      <c r="W31" s="55">
        <f t="shared" si="6"/>
        <v>7.4986751457339906E-2</v>
      </c>
      <c r="X31" s="58" t="s">
        <v>86</v>
      </c>
    </row>
    <row r="32" spans="1:24" x14ac:dyDescent="0.25">
      <c r="A32" s="65">
        <v>43678</v>
      </c>
      <c r="B32" s="66">
        <v>144.96666666666667</v>
      </c>
      <c r="C32" s="66">
        <v>142.31025641025641</v>
      </c>
      <c r="D32" s="66">
        <v>151.6</v>
      </c>
      <c r="E32" s="66">
        <v>147.56666666666666</v>
      </c>
      <c r="F32" s="66">
        <v>126</v>
      </c>
      <c r="H32" s="53">
        <v>44044</v>
      </c>
      <c r="I32" s="54">
        <f t="shared" si="0"/>
        <v>153.83333333333334</v>
      </c>
      <c r="J32" s="54">
        <f t="shared" si="1"/>
        <v>144.96666666666667</v>
      </c>
      <c r="K32" s="55">
        <f t="shared" si="2"/>
        <v>6.1163485858818145E-2</v>
      </c>
      <c r="L32" s="54">
        <v>153.81282051282051</v>
      </c>
      <c r="M32" s="54">
        <v>142.31025641025641</v>
      </c>
      <c r="N32" s="55">
        <f t="shared" si="3"/>
        <v>8.0827372479775006E-2</v>
      </c>
      <c r="O32" s="54">
        <v>155.5</v>
      </c>
      <c r="P32" s="57">
        <v>151.6</v>
      </c>
      <c r="Q32" s="55">
        <f t="shared" si="4"/>
        <v>2.5725593667546232E-2</v>
      </c>
      <c r="R32" s="54">
        <v>154.16666666666666</v>
      </c>
      <c r="S32" s="54">
        <v>147.56666666666666</v>
      </c>
      <c r="T32" s="55">
        <f t="shared" si="5"/>
        <v>4.4725547775016805E-2</v>
      </c>
      <c r="U32" s="54">
        <v>138.66666666666666</v>
      </c>
      <c r="V32" s="54">
        <v>126</v>
      </c>
      <c r="W32" s="55">
        <f t="shared" si="6"/>
        <v>0.10052910052910047</v>
      </c>
      <c r="X32" s="58" t="s">
        <v>86</v>
      </c>
    </row>
    <row r="33" spans="1:24" x14ac:dyDescent="0.25">
      <c r="A33" s="65">
        <v>43709</v>
      </c>
      <c r="B33" s="66">
        <v>145.73333333333332</v>
      </c>
      <c r="C33" s="66">
        <v>143.1102564102564</v>
      </c>
      <c r="D33" s="66">
        <v>152.19999999999999</v>
      </c>
      <c r="E33" s="66">
        <v>148.1</v>
      </c>
      <c r="F33" s="66">
        <v>126.3</v>
      </c>
      <c r="H33" s="53">
        <v>44075</v>
      </c>
      <c r="I33" s="54">
        <f t="shared" si="0"/>
        <v>154.70000000000002</v>
      </c>
      <c r="J33" s="54">
        <f t="shared" si="1"/>
        <v>145.73333333333332</v>
      </c>
      <c r="K33" s="55">
        <f t="shared" si="2"/>
        <v>6.1527904849039583E-2</v>
      </c>
      <c r="L33" s="54">
        <v>154.76923076923075</v>
      </c>
      <c r="M33" s="54">
        <v>143.1102564102564</v>
      </c>
      <c r="N33" s="55">
        <f t="shared" si="3"/>
        <v>8.1468475086449388E-2</v>
      </c>
      <c r="O33" s="54">
        <v>156.30000000000001</v>
      </c>
      <c r="P33" s="57">
        <v>152.19999999999999</v>
      </c>
      <c r="Q33" s="55">
        <f t="shared" si="4"/>
        <v>2.6938239159001398E-2</v>
      </c>
      <c r="R33" s="54">
        <v>154.9</v>
      </c>
      <c r="S33" s="54">
        <v>148.1</v>
      </c>
      <c r="T33" s="55">
        <f t="shared" si="5"/>
        <v>4.5914922349763687E-2</v>
      </c>
      <c r="U33" s="54">
        <v>139.76666666666665</v>
      </c>
      <c r="V33" s="54">
        <v>126.3</v>
      </c>
      <c r="W33" s="55">
        <f t="shared" si="6"/>
        <v>0.10662443916600672</v>
      </c>
      <c r="X33" s="58" t="s">
        <v>86</v>
      </c>
    </row>
    <row r="34" spans="1:24" x14ac:dyDescent="0.25">
      <c r="A34" s="65">
        <v>43739</v>
      </c>
      <c r="B34" s="66">
        <v>147.16666666666666</v>
      </c>
      <c r="C34" s="66">
        <v>145.25897435897434</v>
      </c>
      <c r="D34" s="66">
        <v>153</v>
      </c>
      <c r="E34" s="66">
        <v>148.5</v>
      </c>
      <c r="F34" s="66">
        <v>126.5</v>
      </c>
      <c r="H34" s="53">
        <v>44105</v>
      </c>
      <c r="I34" s="54">
        <f t="shared" si="0"/>
        <v>156.36666666666667</v>
      </c>
      <c r="J34" s="54">
        <f t="shared" si="1"/>
        <v>147.16666666666666</v>
      </c>
      <c r="K34" s="55">
        <f t="shared" si="2"/>
        <v>6.2514156285390809E-2</v>
      </c>
      <c r="L34" s="54">
        <v>157.94102564102565</v>
      </c>
      <c r="M34" s="54">
        <v>145.25897435897434</v>
      </c>
      <c r="N34" s="55">
        <f t="shared" si="3"/>
        <v>8.7306490617994559E-2</v>
      </c>
      <c r="O34" s="54">
        <v>156.5</v>
      </c>
      <c r="P34" s="57">
        <v>153</v>
      </c>
      <c r="Q34" s="55">
        <f t="shared" si="4"/>
        <v>2.2875816993463971E-2</v>
      </c>
      <c r="R34" s="54">
        <v>155.6</v>
      </c>
      <c r="S34" s="54">
        <v>148.5</v>
      </c>
      <c r="T34" s="55">
        <f t="shared" si="5"/>
        <v>4.7811447811447749E-2</v>
      </c>
      <c r="U34" s="54">
        <v>140.79999999999998</v>
      </c>
      <c r="V34" s="54">
        <v>126.5</v>
      </c>
      <c r="W34" s="55">
        <f t="shared" si="6"/>
        <v>0.11304347826086936</v>
      </c>
      <c r="X34" s="58" t="s">
        <v>86</v>
      </c>
    </row>
    <row r="35" spans="1:24" x14ac:dyDescent="0.25">
      <c r="A35" s="65">
        <v>43770</v>
      </c>
      <c r="B35" s="66">
        <v>148.5</v>
      </c>
      <c r="C35" s="66">
        <v>147.16666666666666</v>
      </c>
      <c r="D35" s="66">
        <v>153.5</v>
      </c>
      <c r="E35" s="66">
        <v>149.00000000000003</v>
      </c>
      <c r="F35" s="66">
        <v>126.8</v>
      </c>
      <c r="H35" s="53">
        <v>44136</v>
      </c>
      <c r="I35" s="54">
        <f t="shared" si="0"/>
        <v>158.30000000000001</v>
      </c>
      <c r="J35" s="54">
        <f t="shared" si="1"/>
        <v>148.5</v>
      </c>
      <c r="K35" s="55">
        <f t="shared" si="2"/>
        <v>6.5993265993266048E-2</v>
      </c>
      <c r="L35" s="54">
        <v>161.50512820512822</v>
      </c>
      <c r="M35" s="54">
        <v>147.16666666666666</v>
      </c>
      <c r="N35" s="55">
        <f t="shared" si="3"/>
        <v>9.7430089729070524E-2</v>
      </c>
      <c r="O35" s="54">
        <v>158</v>
      </c>
      <c r="P35" s="57">
        <v>153.5</v>
      </c>
      <c r="Q35" s="55">
        <f t="shared" si="4"/>
        <v>2.931596091205213E-2</v>
      </c>
      <c r="R35" s="54">
        <v>156.53333333333333</v>
      </c>
      <c r="S35" s="54">
        <v>149.00000000000003</v>
      </c>
      <c r="T35" s="55">
        <f t="shared" si="5"/>
        <v>5.0559284116330927E-2</v>
      </c>
      <c r="U35" s="54">
        <v>140.56666666666669</v>
      </c>
      <c r="V35" s="54">
        <v>126.8</v>
      </c>
      <c r="W35" s="55">
        <f t="shared" si="6"/>
        <v>0.10856992639327046</v>
      </c>
      <c r="X35" s="58" t="s">
        <v>86</v>
      </c>
    </row>
    <row r="36" spans="1:24" x14ac:dyDescent="0.25">
      <c r="A36" s="65">
        <v>43800</v>
      </c>
      <c r="B36" s="66">
        <v>150.33333333333334</v>
      </c>
      <c r="C36" s="66">
        <v>149.84102564102565</v>
      </c>
      <c r="D36" s="66">
        <v>152.80000000000001</v>
      </c>
      <c r="E36" s="66">
        <v>149.46666666666667</v>
      </c>
      <c r="F36" s="66">
        <v>130</v>
      </c>
      <c r="H36" s="53">
        <v>44166</v>
      </c>
      <c r="I36" s="54">
        <f t="shared" si="0"/>
        <v>158.83333333333334</v>
      </c>
      <c r="J36" s="54">
        <f t="shared" si="1"/>
        <v>150.33333333333334</v>
      </c>
      <c r="K36" s="55">
        <f t="shared" si="2"/>
        <v>5.6541019955654193E-2</v>
      </c>
      <c r="L36" s="54">
        <v>162.43589743589743</v>
      </c>
      <c r="M36" s="54">
        <v>149.84102564102565</v>
      </c>
      <c r="N36" s="55">
        <f t="shared" si="3"/>
        <v>8.4054895786987771E-2</v>
      </c>
      <c r="O36" s="54">
        <v>158.4</v>
      </c>
      <c r="P36" s="57">
        <v>152.80000000000001</v>
      </c>
      <c r="Q36" s="55">
        <f t="shared" si="4"/>
        <v>3.6649214659685736E-2</v>
      </c>
      <c r="R36" s="54">
        <v>157.60000000000002</v>
      </c>
      <c r="S36" s="54">
        <v>149.46666666666667</v>
      </c>
      <c r="T36" s="55">
        <f t="shared" si="5"/>
        <v>5.4415700267618439E-2</v>
      </c>
      <c r="U36" s="54">
        <v>140.86666666666667</v>
      </c>
      <c r="V36" s="54">
        <v>130</v>
      </c>
      <c r="W36" s="55">
        <f t="shared" si="6"/>
        <v>8.3589743589743692E-2</v>
      </c>
      <c r="X36" s="58" t="s">
        <v>86</v>
      </c>
    </row>
    <row r="37" spans="1:24" x14ac:dyDescent="0.25">
      <c r="A37" s="65">
        <v>43831</v>
      </c>
      <c r="B37" s="66">
        <v>150.1</v>
      </c>
      <c r="C37" s="66">
        <v>149.34358974358975</v>
      </c>
      <c r="D37" s="66">
        <v>153.9</v>
      </c>
      <c r="E37" s="66">
        <v>150.23333333333332</v>
      </c>
      <c r="F37" s="66">
        <v>131.1</v>
      </c>
      <c r="H37" s="53">
        <v>44197</v>
      </c>
      <c r="I37" s="54">
        <f t="shared" si="0"/>
        <v>157.26666666666668</v>
      </c>
      <c r="J37" s="54">
        <f t="shared" si="1"/>
        <v>150.1</v>
      </c>
      <c r="K37" s="55">
        <f t="shared" si="2"/>
        <v>4.7745947146347056E-2</v>
      </c>
      <c r="L37" s="54">
        <v>159.97948717948717</v>
      </c>
      <c r="M37" s="54">
        <v>149.34358974358975</v>
      </c>
      <c r="N37" s="55">
        <f t="shared" si="3"/>
        <v>7.1217636151363228E-2</v>
      </c>
      <c r="O37" s="54">
        <v>157.69999999999999</v>
      </c>
      <c r="P37" s="57">
        <v>153.9</v>
      </c>
      <c r="Q37" s="55">
        <f t="shared" si="4"/>
        <v>2.4691358024691246E-2</v>
      </c>
      <c r="R37" s="54">
        <v>158.63333333333333</v>
      </c>
      <c r="S37" s="54">
        <v>150.23333333333332</v>
      </c>
      <c r="T37" s="55">
        <f t="shared" si="5"/>
        <v>5.5913024184601756E-2</v>
      </c>
      <c r="U37" s="54">
        <v>142.1</v>
      </c>
      <c r="V37" s="54">
        <v>131.1</v>
      </c>
      <c r="W37" s="55">
        <f t="shared" si="6"/>
        <v>8.3905415713195985E-2</v>
      </c>
      <c r="X37" s="58" t="s">
        <v>86</v>
      </c>
    </row>
    <row r="38" spans="1:24" x14ac:dyDescent="0.25">
      <c r="A38" s="65">
        <v>43862</v>
      </c>
      <c r="B38" s="66">
        <v>149.06666666666663</v>
      </c>
      <c r="C38" s="66">
        <v>147.12820512820511</v>
      </c>
      <c r="D38" s="66">
        <v>154.80000000000001</v>
      </c>
      <c r="E38" s="66">
        <v>150.76666666666668</v>
      </c>
      <c r="F38" s="66">
        <v>130.5</v>
      </c>
      <c r="H38" s="53">
        <v>44228</v>
      </c>
      <c r="I38" s="54">
        <f t="shared" si="0"/>
        <v>156.6</v>
      </c>
      <c r="J38" s="54">
        <f t="shared" si="1"/>
        <v>149.06666666666663</v>
      </c>
      <c r="K38" s="55">
        <f t="shared" si="2"/>
        <v>5.0536672629696078E-2</v>
      </c>
      <c r="L38" s="54">
        <v>157.19487179487183</v>
      </c>
      <c r="M38" s="54">
        <v>147.12820512820511</v>
      </c>
      <c r="N38" s="55">
        <f t="shared" si="3"/>
        <v>6.8421052631579382E-2</v>
      </c>
      <c r="O38" s="54">
        <v>159.80000000000001</v>
      </c>
      <c r="P38" s="57">
        <v>154.80000000000001</v>
      </c>
      <c r="Q38" s="55">
        <f t="shared" si="4"/>
        <v>3.2299741602067167E-2</v>
      </c>
      <c r="R38" s="54">
        <v>160.63333333333335</v>
      </c>
      <c r="S38" s="54">
        <v>150.76666666666668</v>
      </c>
      <c r="T38" s="55">
        <f t="shared" si="5"/>
        <v>6.5443289851868203E-2</v>
      </c>
      <c r="U38" s="54">
        <v>145.26666666666668</v>
      </c>
      <c r="V38" s="54">
        <v>130.5</v>
      </c>
      <c r="W38" s="55">
        <f t="shared" si="6"/>
        <v>0.11315453384418905</v>
      </c>
      <c r="X38" s="58" t="s">
        <v>86</v>
      </c>
    </row>
    <row r="39" spans="1:24" x14ac:dyDescent="0.25">
      <c r="A39" s="65">
        <v>43891</v>
      </c>
      <c r="B39" s="66">
        <v>148.56666666666666</v>
      </c>
      <c r="C39" s="66">
        <v>145.85897435897436</v>
      </c>
      <c r="D39" s="66">
        <v>154.5</v>
      </c>
      <c r="E39" s="66">
        <v>151.33333333333334</v>
      </c>
      <c r="F39" s="66">
        <v>130.1</v>
      </c>
      <c r="H39" s="53">
        <v>44256</v>
      </c>
      <c r="I39" s="54">
        <f t="shared" si="0"/>
        <v>156.80000000000001</v>
      </c>
      <c r="J39" s="54">
        <f t="shared" si="1"/>
        <v>148.56666666666666</v>
      </c>
      <c r="K39" s="55">
        <f t="shared" si="2"/>
        <v>5.5418442898810927E-2</v>
      </c>
      <c r="L39" s="54">
        <v>157.16923076923075</v>
      </c>
      <c r="M39" s="54">
        <v>145.85897435897436</v>
      </c>
      <c r="N39" s="55">
        <f t="shared" si="3"/>
        <v>7.7542410125692074E-2</v>
      </c>
      <c r="O39" s="54">
        <v>159.9</v>
      </c>
      <c r="P39" s="57">
        <v>154.5</v>
      </c>
      <c r="Q39" s="55">
        <f t="shared" si="4"/>
        <v>3.4951456310679641E-2</v>
      </c>
      <c r="R39" s="54">
        <v>161.06666666666669</v>
      </c>
      <c r="S39" s="54">
        <v>151.33333333333334</v>
      </c>
      <c r="T39" s="55">
        <f t="shared" si="5"/>
        <v>6.4317180616740188E-2</v>
      </c>
      <c r="U39" s="54">
        <v>146.4</v>
      </c>
      <c r="V39" s="54">
        <v>130.1</v>
      </c>
      <c r="W39" s="55">
        <f t="shared" si="6"/>
        <v>0.12528823981552661</v>
      </c>
      <c r="X39" s="58" t="s">
        <v>86</v>
      </c>
    </row>
    <row r="40" spans="1:24" x14ac:dyDescent="0.25">
      <c r="A40" s="65">
        <v>43922</v>
      </c>
      <c r="B40" s="66">
        <v>149.63333333333333</v>
      </c>
      <c r="C40" s="66">
        <v>150.83666666666667</v>
      </c>
      <c r="D40" s="66">
        <v>155.6</v>
      </c>
      <c r="E40" s="66">
        <v>149.93333333333334</v>
      </c>
      <c r="F40" s="66">
        <v>131.8133333333333</v>
      </c>
      <c r="H40" s="53">
        <v>44287</v>
      </c>
      <c r="I40" s="54">
        <f t="shared" si="0"/>
        <v>157.79999999999998</v>
      </c>
      <c r="J40" s="54">
        <f t="shared" si="1"/>
        <v>149.63333333333333</v>
      </c>
      <c r="K40" s="55">
        <f t="shared" si="2"/>
        <v>5.4577856983738071E-2</v>
      </c>
      <c r="L40" s="54">
        <v>159.05641025641026</v>
      </c>
      <c r="M40" s="54">
        <v>150.83666666666667</v>
      </c>
      <c r="N40" s="55">
        <f t="shared" si="3"/>
        <v>5.4494333316900789E-2</v>
      </c>
      <c r="O40" s="54">
        <v>161.4</v>
      </c>
      <c r="P40" s="57">
        <v>155.6</v>
      </c>
      <c r="Q40" s="55">
        <f t="shared" si="4"/>
        <v>3.7275064267352276E-2</v>
      </c>
      <c r="R40" s="54">
        <v>161.70000000000002</v>
      </c>
      <c r="S40" s="54">
        <v>149.93333333333334</v>
      </c>
      <c r="T40" s="55">
        <f t="shared" si="5"/>
        <v>7.8479324144064222E-2</v>
      </c>
      <c r="U40" s="54">
        <v>146.79999999999998</v>
      </c>
      <c r="V40" s="54">
        <v>131.8133333333333</v>
      </c>
      <c r="W40" s="55">
        <f t="shared" si="6"/>
        <v>0.11369613594982808</v>
      </c>
      <c r="X40" s="58" t="s">
        <v>86</v>
      </c>
    </row>
    <row r="41" spans="1:24" x14ac:dyDescent="0.25">
      <c r="A41" s="65">
        <v>43952</v>
      </c>
      <c r="B41" s="66">
        <v>150.70000000000002</v>
      </c>
      <c r="C41" s="66">
        <v>151.22358974358977</v>
      </c>
      <c r="D41" s="66">
        <v>155.15</v>
      </c>
      <c r="E41" s="66">
        <v>151.75</v>
      </c>
      <c r="F41" s="66">
        <v>133.52000000000001</v>
      </c>
      <c r="H41" s="53">
        <v>44317</v>
      </c>
      <c r="I41" s="54">
        <f t="shared" si="0"/>
        <v>160.33333333333334</v>
      </c>
      <c r="J41" s="54">
        <f t="shared" si="1"/>
        <v>150.70000000000002</v>
      </c>
      <c r="K41" s="55">
        <f t="shared" si="2"/>
        <v>6.3923910639239079E-2</v>
      </c>
      <c r="L41" s="54">
        <v>162.19743589743589</v>
      </c>
      <c r="M41" s="54">
        <v>151.22358974358977</v>
      </c>
      <c r="N41" s="55">
        <f t="shared" si="3"/>
        <v>7.2567025901534521E-2</v>
      </c>
      <c r="O41" s="54">
        <v>161.6</v>
      </c>
      <c r="P41" s="57">
        <v>155.15</v>
      </c>
      <c r="Q41" s="55">
        <f t="shared" si="4"/>
        <v>4.1572671608121059E-2</v>
      </c>
      <c r="R41" s="54">
        <v>165.10000000000002</v>
      </c>
      <c r="S41" s="54">
        <v>151.75</v>
      </c>
      <c r="T41" s="55">
        <f t="shared" si="5"/>
        <v>8.7973640856672253E-2</v>
      </c>
      <c r="U41" s="54">
        <v>149.03333333333333</v>
      </c>
      <c r="V41" s="54">
        <v>133.52000000000001</v>
      </c>
      <c r="W41" s="55">
        <f t="shared" si="6"/>
        <v>0.11618733772718182</v>
      </c>
      <c r="X41" s="58" t="s">
        <v>86</v>
      </c>
    </row>
    <row r="42" spans="1:24" x14ac:dyDescent="0.25">
      <c r="A42" s="65">
        <v>43983</v>
      </c>
      <c r="B42" s="66">
        <v>151.76666666666668</v>
      </c>
      <c r="C42" s="66">
        <v>151.6102564102564</v>
      </c>
      <c r="D42" s="66">
        <v>154.69999999999999</v>
      </c>
      <c r="E42" s="66">
        <v>153.56666666666666</v>
      </c>
      <c r="F42" s="66">
        <v>135.23333333333335</v>
      </c>
      <c r="H42" s="53">
        <v>44348</v>
      </c>
      <c r="I42" s="54">
        <f t="shared" si="0"/>
        <v>161.26666666666668</v>
      </c>
      <c r="J42" s="54">
        <f t="shared" si="1"/>
        <v>151.76666666666668</v>
      </c>
      <c r="K42" s="55">
        <f t="shared" si="2"/>
        <v>6.2596090489786871E-2</v>
      </c>
      <c r="L42" s="54">
        <v>164.37692307692308</v>
      </c>
      <c r="M42" s="54">
        <v>151.6102564102564</v>
      </c>
      <c r="N42" s="55">
        <f t="shared" si="3"/>
        <v>8.4207143823569197E-2</v>
      </c>
      <c r="O42" s="54">
        <v>160.5</v>
      </c>
      <c r="P42" s="57">
        <v>154.69999999999999</v>
      </c>
      <c r="Q42" s="55">
        <f t="shared" si="4"/>
        <v>3.749191984486111E-2</v>
      </c>
      <c r="R42" s="54">
        <v>165.6</v>
      </c>
      <c r="S42" s="54">
        <v>153.56666666666666</v>
      </c>
      <c r="T42" s="55">
        <f t="shared" si="5"/>
        <v>7.8359018884306408E-2</v>
      </c>
      <c r="U42" s="54">
        <v>150.79999999999998</v>
      </c>
      <c r="V42" s="54">
        <v>135.23333333333335</v>
      </c>
      <c r="W42" s="55">
        <f t="shared" si="6"/>
        <v>0.11510968696080814</v>
      </c>
      <c r="X42" s="58" t="s">
        <v>86</v>
      </c>
    </row>
    <row r="43" spans="1:24" x14ac:dyDescent="0.25">
      <c r="A43" s="65">
        <v>44013</v>
      </c>
      <c r="B43" s="66">
        <v>151.76666666666668</v>
      </c>
      <c r="C43" s="66">
        <v>151.6102564102564</v>
      </c>
      <c r="D43" s="66">
        <v>154.69999999999999</v>
      </c>
      <c r="E43" s="66">
        <v>153.56666666666666</v>
      </c>
      <c r="F43" s="66">
        <v>135.23333333333335</v>
      </c>
      <c r="H43" s="53">
        <v>44378</v>
      </c>
      <c r="I43" s="54">
        <f t="shared" si="0"/>
        <v>162.5</v>
      </c>
      <c r="J43" s="54">
        <f t="shared" si="1"/>
        <v>151.76666666666668</v>
      </c>
      <c r="K43" s="55">
        <f t="shared" si="2"/>
        <v>7.0722600483197784E-2</v>
      </c>
      <c r="L43" s="54">
        <v>165.41538461538462</v>
      </c>
      <c r="M43" s="54">
        <v>151.6102564102564</v>
      </c>
      <c r="N43" s="55">
        <f t="shared" si="3"/>
        <v>9.1056690569611742E-2</v>
      </c>
      <c r="O43" s="54">
        <v>161.5</v>
      </c>
      <c r="P43" s="57">
        <v>154.69999999999999</v>
      </c>
      <c r="Q43" s="55">
        <f t="shared" si="4"/>
        <v>4.3956043956044022E-2</v>
      </c>
      <c r="R43" s="54">
        <v>166.29999999999998</v>
      </c>
      <c r="S43" s="54">
        <v>153.56666666666666</v>
      </c>
      <c r="T43" s="55">
        <f t="shared" si="5"/>
        <v>8.2917299761232854E-2</v>
      </c>
      <c r="U43" s="54">
        <v>153.23333333333335</v>
      </c>
      <c r="V43" s="54">
        <v>135.23333333333335</v>
      </c>
      <c r="W43" s="55">
        <f t="shared" si="6"/>
        <v>0.13310327828444657</v>
      </c>
      <c r="X43" s="58" t="s">
        <v>86</v>
      </c>
    </row>
    <row r="44" spans="1:24" x14ac:dyDescent="0.25">
      <c r="A44" s="65">
        <v>44044</v>
      </c>
      <c r="B44" s="66">
        <v>153.83333333333334</v>
      </c>
      <c r="C44" s="66">
        <v>153.81282051282051</v>
      </c>
      <c r="D44" s="66">
        <v>155.5</v>
      </c>
      <c r="E44" s="66">
        <v>154.16666666666666</v>
      </c>
      <c r="F44" s="66">
        <v>138.66666666666666</v>
      </c>
      <c r="H44" s="53">
        <v>44409</v>
      </c>
      <c r="I44" s="54">
        <f t="shared" si="0"/>
        <v>163.03333333333333</v>
      </c>
      <c r="J44" s="54">
        <f t="shared" si="1"/>
        <v>153.83333333333334</v>
      </c>
      <c r="K44" s="55">
        <f t="shared" si="2"/>
        <v>5.9804983748645624E-2</v>
      </c>
      <c r="L44" s="54">
        <v>164.8897435897436</v>
      </c>
      <c r="M44" s="54">
        <v>153.81282051282051</v>
      </c>
      <c r="N44" s="55">
        <f t="shared" si="3"/>
        <v>7.2015603380732651E-2</v>
      </c>
      <c r="O44" s="54">
        <v>162.1</v>
      </c>
      <c r="P44" s="57">
        <v>155.5</v>
      </c>
      <c r="Q44" s="55">
        <f t="shared" si="4"/>
        <v>4.2443729903536953E-2</v>
      </c>
      <c r="R44" s="54">
        <v>167.43333333333337</v>
      </c>
      <c r="S44" s="54">
        <v>154.16666666666666</v>
      </c>
      <c r="T44" s="55">
        <f t="shared" si="5"/>
        <v>8.6054054054054419E-2</v>
      </c>
      <c r="U44" s="54">
        <v>154.03333333333333</v>
      </c>
      <c r="V44" s="54">
        <v>138.66666666666666</v>
      </c>
      <c r="W44" s="55">
        <f t="shared" si="6"/>
        <v>0.1108173076923078</v>
      </c>
      <c r="X44" s="58" t="s">
        <v>86</v>
      </c>
    </row>
    <row r="45" spans="1:24" x14ac:dyDescent="0.25">
      <c r="A45" s="65">
        <v>44075</v>
      </c>
      <c r="B45" s="66">
        <v>154.70000000000002</v>
      </c>
      <c r="C45" s="66">
        <v>154.76923076923075</v>
      </c>
      <c r="D45" s="66">
        <v>156.30000000000001</v>
      </c>
      <c r="E45" s="66">
        <v>154.9</v>
      </c>
      <c r="F45" s="66">
        <v>139.76666666666665</v>
      </c>
      <c r="H45" s="53">
        <v>44440</v>
      </c>
      <c r="I45" s="54">
        <f t="shared" si="0"/>
        <v>163.16666666666666</v>
      </c>
      <c r="J45" s="54">
        <f t="shared" si="1"/>
        <v>154.70000000000002</v>
      </c>
      <c r="K45" s="55">
        <f t="shared" si="2"/>
        <v>5.4729584141348653E-2</v>
      </c>
      <c r="L45" s="54">
        <v>164.96153846153845</v>
      </c>
      <c r="M45" s="54">
        <v>154.76923076923075</v>
      </c>
      <c r="N45" s="55">
        <f t="shared" si="3"/>
        <v>6.5854870775348129E-2</v>
      </c>
      <c r="O45" s="54">
        <v>162.1</v>
      </c>
      <c r="P45" s="57">
        <v>156.30000000000001</v>
      </c>
      <c r="Q45" s="55">
        <f t="shared" si="4"/>
        <v>3.7108125399871961E-2</v>
      </c>
      <c r="R45" s="54">
        <v>167.70000000000002</v>
      </c>
      <c r="S45" s="54">
        <v>154.9</v>
      </c>
      <c r="T45" s="55">
        <f t="shared" si="5"/>
        <v>8.2633957391865742E-2</v>
      </c>
      <c r="U45" s="54">
        <v>154.1</v>
      </c>
      <c r="V45" s="54">
        <v>139.76666666666665</v>
      </c>
      <c r="W45" s="55">
        <f t="shared" si="6"/>
        <v>0.10255187216789885</v>
      </c>
      <c r="X45" s="58" t="s">
        <v>86</v>
      </c>
    </row>
    <row r="46" spans="1:24" x14ac:dyDescent="0.25">
      <c r="A46" s="65">
        <v>44105</v>
      </c>
      <c r="B46" s="66">
        <v>156.36666666666667</v>
      </c>
      <c r="C46" s="66">
        <v>157.94102564102565</v>
      </c>
      <c r="D46" s="66">
        <v>156.5</v>
      </c>
      <c r="E46" s="66">
        <v>155.6</v>
      </c>
      <c r="F46" s="66">
        <v>140.79999999999998</v>
      </c>
      <c r="H46" s="53">
        <v>44470</v>
      </c>
      <c r="I46" s="54">
        <f t="shared" ref="I46:I65" si="7">B58</f>
        <v>165.46666666666667</v>
      </c>
      <c r="J46" s="54">
        <f t="shared" si="1"/>
        <v>156.36666666666667</v>
      </c>
      <c r="K46" s="55">
        <f t="shared" si="2"/>
        <v>5.8196546578554553E-2</v>
      </c>
      <c r="L46" s="54">
        <v>167.64358974358976</v>
      </c>
      <c r="M46" s="54">
        <v>157.94102564102565</v>
      </c>
      <c r="N46" s="55">
        <f t="shared" si="3"/>
        <v>6.1431563225481822E-2</v>
      </c>
      <c r="O46" s="54">
        <v>163.6</v>
      </c>
      <c r="P46" s="57">
        <v>156.5</v>
      </c>
      <c r="Q46" s="55">
        <f t="shared" si="4"/>
        <v>4.5367412140574936E-2</v>
      </c>
      <c r="R46" s="54">
        <v>168.36666666666667</v>
      </c>
      <c r="S46" s="54">
        <v>155.6</v>
      </c>
      <c r="T46" s="55">
        <f t="shared" si="5"/>
        <v>8.2047986289631725E-2</v>
      </c>
      <c r="U46" s="54">
        <v>155.79999999999998</v>
      </c>
      <c r="V46" s="54">
        <v>140.79999999999998</v>
      </c>
      <c r="W46" s="55">
        <f t="shared" si="6"/>
        <v>0.10653409090909083</v>
      </c>
      <c r="X46" s="58" t="s">
        <v>86</v>
      </c>
    </row>
    <row r="47" spans="1:24" x14ac:dyDescent="0.25">
      <c r="A47" s="65">
        <v>44136</v>
      </c>
      <c r="B47" s="66">
        <v>158.30000000000001</v>
      </c>
      <c r="C47" s="66">
        <v>161.50512820512822</v>
      </c>
      <c r="D47" s="66">
        <v>158</v>
      </c>
      <c r="E47" s="66">
        <v>156.53333333333333</v>
      </c>
      <c r="F47" s="66">
        <v>140.56666666666669</v>
      </c>
      <c r="H47" s="53">
        <v>44501</v>
      </c>
      <c r="I47" s="54">
        <f t="shared" si="7"/>
        <v>166.63333333333333</v>
      </c>
      <c r="J47" s="54">
        <f t="shared" si="1"/>
        <v>158.30000000000001</v>
      </c>
      <c r="K47" s="55">
        <f t="shared" si="2"/>
        <v>5.2642661612970931E-2</v>
      </c>
      <c r="L47" s="54">
        <v>169.07692307692307</v>
      </c>
      <c r="M47" s="54">
        <v>161.50512820512822</v>
      </c>
      <c r="N47" s="55">
        <f t="shared" si="3"/>
        <v>4.6882690078904998E-2</v>
      </c>
      <c r="O47" s="54">
        <v>164.2</v>
      </c>
      <c r="P47" s="57">
        <v>158</v>
      </c>
      <c r="Q47" s="55">
        <f t="shared" si="4"/>
        <v>3.9240506329113911E-2</v>
      </c>
      <c r="R47" s="54">
        <v>169.16666666666666</v>
      </c>
      <c r="S47" s="54">
        <v>156.53333333333333</v>
      </c>
      <c r="T47" s="55">
        <f t="shared" si="5"/>
        <v>8.0706984667802351E-2</v>
      </c>
      <c r="U47" s="54">
        <v>154.96666666666667</v>
      </c>
      <c r="V47" s="54">
        <v>140.56666666666669</v>
      </c>
      <c r="W47" s="55">
        <f t="shared" si="6"/>
        <v>0.10244249466445332</v>
      </c>
      <c r="X47" s="58" t="s">
        <v>86</v>
      </c>
    </row>
    <row r="48" spans="1:24" x14ac:dyDescent="0.25">
      <c r="A48" s="65">
        <v>44166</v>
      </c>
      <c r="B48" s="66">
        <v>158.83333333333334</v>
      </c>
      <c r="C48" s="66">
        <v>162.43589743589743</v>
      </c>
      <c r="D48" s="66">
        <v>158.4</v>
      </c>
      <c r="E48" s="66">
        <v>157.60000000000002</v>
      </c>
      <c r="F48" s="66">
        <v>140.86666666666667</v>
      </c>
      <c r="H48" s="53">
        <v>44531</v>
      </c>
      <c r="I48" s="54">
        <f t="shared" si="7"/>
        <v>166.13333333333333</v>
      </c>
      <c r="J48" s="54">
        <f t="shared" si="1"/>
        <v>158.83333333333334</v>
      </c>
      <c r="K48" s="55">
        <f t="shared" si="2"/>
        <v>4.5960125918153016E-2</v>
      </c>
      <c r="L48" s="54">
        <v>168.08717948717947</v>
      </c>
      <c r="M48" s="54">
        <v>162.43589743589743</v>
      </c>
      <c r="N48" s="55">
        <f t="shared" si="3"/>
        <v>3.4790844514601238E-2</v>
      </c>
      <c r="O48" s="54">
        <v>163.4</v>
      </c>
      <c r="P48" s="57">
        <v>158.4</v>
      </c>
      <c r="Q48" s="55">
        <f t="shared" si="4"/>
        <v>3.1565656565656575E-2</v>
      </c>
      <c r="R48" s="54">
        <v>169.9</v>
      </c>
      <c r="S48" s="54">
        <v>157.60000000000002</v>
      </c>
      <c r="T48" s="55">
        <f t="shared" si="5"/>
        <v>7.804568527918776E-2</v>
      </c>
      <c r="U48" s="54">
        <v>155.86666666666667</v>
      </c>
      <c r="V48" s="54">
        <v>140.86666666666667</v>
      </c>
      <c r="W48" s="55">
        <f t="shared" si="6"/>
        <v>0.1064836725035494</v>
      </c>
      <c r="X48" s="58" t="s">
        <v>86</v>
      </c>
    </row>
    <row r="49" spans="1:24" x14ac:dyDescent="0.25">
      <c r="A49" s="65">
        <v>44197</v>
      </c>
      <c r="B49" s="66">
        <v>157.26666666666668</v>
      </c>
      <c r="C49" s="66">
        <v>159.97948717948717</v>
      </c>
      <c r="D49" s="66">
        <v>157.69999999999999</v>
      </c>
      <c r="E49" s="66">
        <v>158.63333333333333</v>
      </c>
      <c r="F49" s="66">
        <v>142.1</v>
      </c>
      <c r="H49" s="53">
        <v>44562</v>
      </c>
      <c r="I49" s="54">
        <f t="shared" si="7"/>
        <v>165.70000000000002</v>
      </c>
      <c r="J49" s="54">
        <f t="shared" si="1"/>
        <v>157.26666666666668</v>
      </c>
      <c r="K49" s="55">
        <f t="shared" si="2"/>
        <v>5.3624417125900825E-2</v>
      </c>
      <c r="L49" s="54">
        <v>166.76666666666665</v>
      </c>
      <c r="M49" s="54">
        <v>159.97948717948717</v>
      </c>
      <c r="N49" s="55">
        <f t="shared" si="3"/>
        <v>4.2425310937299621E-2</v>
      </c>
      <c r="O49" s="54">
        <v>164.5</v>
      </c>
      <c r="P49" s="57">
        <v>157.69999999999999</v>
      </c>
      <c r="Q49" s="55">
        <f t="shared" si="4"/>
        <v>4.3119847812301826E-2</v>
      </c>
      <c r="R49" s="54">
        <v>170.73333333333335</v>
      </c>
      <c r="S49" s="54">
        <v>158.63333333333333</v>
      </c>
      <c r="T49" s="55">
        <f t="shared" si="5"/>
        <v>7.6276528682496458E-2</v>
      </c>
      <c r="U49" s="54">
        <v>156.66666666666666</v>
      </c>
      <c r="V49" s="54">
        <v>142.1</v>
      </c>
      <c r="W49" s="55">
        <f t="shared" si="6"/>
        <v>0.10250996950504332</v>
      </c>
      <c r="X49" s="58" t="s">
        <v>86</v>
      </c>
    </row>
    <row r="50" spans="1:24" x14ac:dyDescent="0.25">
      <c r="A50" s="65">
        <v>44228</v>
      </c>
      <c r="B50" s="66">
        <v>156.6</v>
      </c>
      <c r="C50" s="66">
        <v>157.19487179487183</v>
      </c>
      <c r="D50" s="66">
        <v>159.80000000000001</v>
      </c>
      <c r="E50" s="66">
        <v>160.63333333333335</v>
      </c>
      <c r="F50" s="66">
        <v>145.26666666666668</v>
      </c>
      <c r="H50" s="53">
        <v>44593</v>
      </c>
      <c r="I50" s="54">
        <f t="shared" si="7"/>
        <v>166.1</v>
      </c>
      <c r="J50" s="54">
        <f t="shared" si="1"/>
        <v>156.6</v>
      </c>
      <c r="K50" s="55">
        <f t="shared" si="2"/>
        <v>6.0664112388250313E-2</v>
      </c>
      <c r="L50" s="54">
        <v>166.54102564102564</v>
      </c>
      <c r="M50" s="54">
        <v>157.19487179487183</v>
      </c>
      <c r="N50" s="55">
        <f t="shared" si="3"/>
        <v>5.9455844452418694E-2</v>
      </c>
      <c r="O50" s="54">
        <v>165.5</v>
      </c>
      <c r="P50" s="57">
        <v>159.80000000000001</v>
      </c>
      <c r="Q50" s="55">
        <f t="shared" si="4"/>
        <v>3.5669586983729573E-2</v>
      </c>
      <c r="R50" s="54">
        <v>171.56666666666669</v>
      </c>
      <c r="S50" s="54">
        <v>160.63333333333335</v>
      </c>
      <c r="T50" s="55">
        <f t="shared" si="5"/>
        <v>6.8063913675036281E-2</v>
      </c>
      <c r="U50" s="54">
        <v>157.06666666666666</v>
      </c>
      <c r="V50" s="54">
        <v>145.26666666666668</v>
      </c>
      <c r="W50" s="55">
        <f t="shared" si="6"/>
        <v>8.1229921982560738E-2</v>
      </c>
      <c r="X50" s="58" t="s">
        <v>86</v>
      </c>
    </row>
    <row r="51" spans="1:24" x14ac:dyDescent="0.25">
      <c r="A51" s="65">
        <v>44256</v>
      </c>
      <c r="B51" s="66">
        <v>156.80000000000001</v>
      </c>
      <c r="C51" s="66">
        <v>157.16923076923075</v>
      </c>
      <c r="D51" s="66">
        <v>159.9</v>
      </c>
      <c r="E51" s="66">
        <v>161.06666666666669</v>
      </c>
      <c r="F51" s="66">
        <v>146.4</v>
      </c>
      <c r="H51" s="53">
        <v>44621</v>
      </c>
      <c r="I51" s="54">
        <f t="shared" si="7"/>
        <v>167.63333333333333</v>
      </c>
      <c r="J51" s="54">
        <f t="shared" si="1"/>
        <v>156.80000000000001</v>
      </c>
      <c r="K51" s="55">
        <f t="shared" si="2"/>
        <v>6.9090136054421603E-2</v>
      </c>
      <c r="L51" s="54">
        <v>168.19487179487183</v>
      </c>
      <c r="M51" s="54">
        <v>157.16923076923075</v>
      </c>
      <c r="N51" s="55">
        <f t="shared" si="3"/>
        <v>7.0151396502219132E-2</v>
      </c>
      <c r="O51" s="54">
        <v>165.3</v>
      </c>
      <c r="P51" s="57">
        <v>159.9</v>
      </c>
      <c r="Q51" s="55">
        <f t="shared" si="4"/>
        <v>3.3771106941838713E-2</v>
      </c>
      <c r="R51" s="54">
        <v>172.4</v>
      </c>
      <c r="S51" s="54">
        <v>161.06666666666669</v>
      </c>
      <c r="T51" s="55">
        <f t="shared" si="5"/>
        <v>7.0364238410595803E-2</v>
      </c>
      <c r="U51" s="54">
        <v>158.03333333333333</v>
      </c>
      <c r="V51" s="54">
        <v>146.4</v>
      </c>
      <c r="W51" s="55">
        <f t="shared" si="6"/>
        <v>7.9462659380692191E-2</v>
      </c>
      <c r="X51" s="58" t="s">
        <v>86</v>
      </c>
    </row>
    <row r="52" spans="1:24" x14ac:dyDescent="0.25">
      <c r="A52" s="65">
        <v>44287</v>
      </c>
      <c r="B52" s="66">
        <v>157.79999999999998</v>
      </c>
      <c r="C52" s="66">
        <v>159.05641025641026</v>
      </c>
      <c r="D52" s="66">
        <v>161.4</v>
      </c>
      <c r="E52" s="66">
        <v>161.70000000000002</v>
      </c>
      <c r="F52" s="66">
        <v>146.79999999999998</v>
      </c>
      <c r="H52" s="53">
        <v>44652</v>
      </c>
      <c r="I52" s="54">
        <f t="shared" si="7"/>
        <v>170.03333333333333</v>
      </c>
      <c r="J52" s="54">
        <f t="shared" si="1"/>
        <v>157.79999999999998</v>
      </c>
      <c r="K52" s="55">
        <f t="shared" si="2"/>
        <v>7.7524292353189805E-2</v>
      </c>
      <c r="L52" s="54">
        <v>170.54615384615386</v>
      </c>
      <c r="M52" s="54">
        <v>159.05641025641026</v>
      </c>
      <c r="N52" s="55">
        <f t="shared" si="3"/>
        <v>7.2236909981944875E-2</v>
      </c>
      <c r="O52" s="54">
        <v>167</v>
      </c>
      <c r="P52" s="57">
        <v>161.4</v>
      </c>
      <c r="Q52" s="55">
        <f t="shared" si="4"/>
        <v>3.4696406443618377E-2</v>
      </c>
      <c r="R52" s="54">
        <v>173.33333333333334</v>
      </c>
      <c r="S52" s="54">
        <v>161.70000000000002</v>
      </c>
      <c r="T52" s="55">
        <f t="shared" si="5"/>
        <v>7.1943929086786262E-2</v>
      </c>
      <c r="U52" s="54">
        <v>162.69999999999999</v>
      </c>
      <c r="V52" s="54">
        <v>146.79999999999998</v>
      </c>
      <c r="W52" s="55">
        <f t="shared" si="6"/>
        <v>0.1083106267029974</v>
      </c>
      <c r="X52" s="58" t="s">
        <v>86</v>
      </c>
    </row>
    <row r="53" spans="1:24" x14ac:dyDescent="0.25">
      <c r="A53" s="65">
        <v>44317</v>
      </c>
      <c r="B53" s="66">
        <v>160.33333333333334</v>
      </c>
      <c r="C53" s="66">
        <v>162.19743589743589</v>
      </c>
      <c r="D53" s="66">
        <v>161.6</v>
      </c>
      <c r="E53" s="66">
        <v>165.10000000000002</v>
      </c>
      <c r="F53" s="66">
        <v>149.03333333333333</v>
      </c>
      <c r="H53" s="53">
        <v>44682</v>
      </c>
      <c r="I53" s="54">
        <f t="shared" si="7"/>
        <v>171.66666666666666</v>
      </c>
      <c r="J53" s="54">
        <f t="shared" si="1"/>
        <v>160.33333333333334</v>
      </c>
      <c r="K53" s="55">
        <f t="shared" si="2"/>
        <v>7.0686070686070579E-2</v>
      </c>
      <c r="L53" s="54">
        <v>172.5102564102564</v>
      </c>
      <c r="M53" s="54">
        <v>162.19743589743589</v>
      </c>
      <c r="N53" s="55">
        <f t="shared" si="3"/>
        <v>6.3581896074742739E-2</v>
      </c>
      <c r="O53" s="54">
        <v>167.5</v>
      </c>
      <c r="P53" s="57">
        <v>161.6</v>
      </c>
      <c r="Q53" s="55">
        <f t="shared" si="4"/>
        <v>3.6509900990099098E-2</v>
      </c>
      <c r="R53" s="54">
        <v>174.19999999999996</v>
      </c>
      <c r="S53" s="54">
        <v>165.10000000000002</v>
      </c>
      <c r="T53" s="55">
        <f t="shared" si="5"/>
        <v>5.5118110236220152E-2</v>
      </c>
      <c r="U53" s="54">
        <v>163.16666666666666</v>
      </c>
      <c r="V53" s="54">
        <v>149.03333333333333</v>
      </c>
      <c r="W53" s="55">
        <f t="shared" si="6"/>
        <v>9.4833370610601708E-2</v>
      </c>
      <c r="X53" s="58" t="s">
        <v>86</v>
      </c>
    </row>
    <row r="54" spans="1:24" x14ac:dyDescent="0.25">
      <c r="A54" s="65">
        <v>44348</v>
      </c>
      <c r="B54" s="66">
        <v>161.26666666666668</v>
      </c>
      <c r="C54" s="66">
        <v>164.37692307692308</v>
      </c>
      <c r="D54" s="66">
        <v>160.5</v>
      </c>
      <c r="E54" s="66">
        <v>165.6</v>
      </c>
      <c r="F54" s="66">
        <v>150.79999999999998</v>
      </c>
      <c r="H54" s="53">
        <v>44713</v>
      </c>
      <c r="I54" s="54">
        <f t="shared" si="7"/>
        <v>172.53333333333333</v>
      </c>
      <c r="J54" s="54">
        <f t="shared" si="1"/>
        <v>161.26666666666668</v>
      </c>
      <c r="K54" s="55">
        <f t="shared" si="2"/>
        <v>6.9863579991731983E-2</v>
      </c>
      <c r="L54" s="54">
        <v>174.29999999999998</v>
      </c>
      <c r="M54" s="54">
        <v>164.37692307692308</v>
      </c>
      <c r="N54" s="55">
        <f t="shared" si="3"/>
        <v>6.0367822546679717E-2</v>
      </c>
      <c r="O54" s="54">
        <v>166.8</v>
      </c>
      <c r="P54" s="57">
        <v>160.5</v>
      </c>
      <c r="Q54" s="55">
        <f t="shared" si="4"/>
        <v>3.9252336448598157E-2</v>
      </c>
      <c r="R54" s="54">
        <v>174.83333333333334</v>
      </c>
      <c r="S54" s="54">
        <v>165.6</v>
      </c>
      <c r="T54" s="55">
        <f t="shared" si="5"/>
        <v>5.5756843800322198E-2</v>
      </c>
      <c r="U54" s="54">
        <v>161.26666666666665</v>
      </c>
      <c r="V54" s="54">
        <v>150.79999999999998</v>
      </c>
      <c r="W54" s="55">
        <f t="shared" si="6"/>
        <v>6.9407603890362601E-2</v>
      </c>
      <c r="X54" s="58" t="s">
        <v>86</v>
      </c>
    </row>
    <row r="55" spans="1:24" x14ac:dyDescent="0.25">
      <c r="A55" s="65">
        <v>44378</v>
      </c>
      <c r="B55" s="66">
        <v>162.5</v>
      </c>
      <c r="C55" s="66">
        <v>165.41538461538462</v>
      </c>
      <c r="D55" s="66">
        <v>161.5</v>
      </c>
      <c r="E55" s="66">
        <v>166.29999999999998</v>
      </c>
      <c r="F55" s="66">
        <v>153.23333333333335</v>
      </c>
      <c r="H55" s="53">
        <v>44743</v>
      </c>
      <c r="I55" s="54">
        <f t="shared" si="7"/>
        <v>173.33333333333334</v>
      </c>
      <c r="J55" s="54">
        <f t="shared" si="1"/>
        <v>162.5</v>
      </c>
      <c r="K55" s="55">
        <f t="shared" si="2"/>
        <v>6.6666666666666652E-2</v>
      </c>
      <c r="L55" s="54">
        <v>174.62564102564102</v>
      </c>
      <c r="M55" s="54">
        <v>165.41538461538462</v>
      </c>
      <c r="N55" s="55">
        <f t="shared" si="3"/>
        <v>5.5679563492063266E-2</v>
      </c>
      <c r="O55" s="54">
        <v>167.8</v>
      </c>
      <c r="P55" s="57">
        <v>161.5</v>
      </c>
      <c r="Q55" s="55">
        <f t="shared" si="4"/>
        <v>3.900928792569669E-2</v>
      </c>
      <c r="R55" s="54">
        <v>175.5333333333333</v>
      </c>
      <c r="S55" s="54">
        <v>166.29999999999998</v>
      </c>
      <c r="T55" s="55">
        <f t="shared" si="5"/>
        <v>5.5522148727199738E-2</v>
      </c>
      <c r="U55" s="54">
        <v>161.76666666666668</v>
      </c>
      <c r="V55" s="54">
        <v>153.23333333333335</v>
      </c>
      <c r="W55" s="55">
        <f t="shared" si="6"/>
        <v>5.5688492495105546E-2</v>
      </c>
      <c r="X55" s="58" t="s">
        <v>86</v>
      </c>
    </row>
    <row r="56" spans="1:24" x14ac:dyDescent="0.25">
      <c r="A56" s="65">
        <v>44409</v>
      </c>
      <c r="B56" s="66">
        <v>163.03333333333333</v>
      </c>
      <c r="C56" s="66">
        <v>164.8897435897436</v>
      </c>
      <c r="D56" s="66">
        <v>162.1</v>
      </c>
      <c r="E56" s="66">
        <v>167.43333333333337</v>
      </c>
      <c r="F56" s="66">
        <v>154.03333333333333</v>
      </c>
      <c r="H56" s="53">
        <v>44774</v>
      </c>
      <c r="I56" s="54">
        <f t="shared" si="7"/>
        <v>174.23333333333335</v>
      </c>
      <c r="J56" s="54">
        <f t="shared" si="1"/>
        <v>163.03333333333333</v>
      </c>
      <c r="K56" s="55">
        <f t="shared" si="2"/>
        <v>6.8697607851155196E-2</v>
      </c>
      <c r="L56" s="54">
        <v>174.83846153846153</v>
      </c>
      <c r="M56" s="54">
        <v>164.8897435897436</v>
      </c>
      <c r="N56" s="55">
        <f t="shared" si="3"/>
        <v>6.0335577775358695E-2</v>
      </c>
      <c r="O56" s="54">
        <v>169</v>
      </c>
      <c r="P56" s="57">
        <v>162.1</v>
      </c>
      <c r="Q56" s="55">
        <f t="shared" si="4"/>
        <v>4.256631708821712E-2</v>
      </c>
      <c r="R56" s="54">
        <v>176.26666666666665</v>
      </c>
      <c r="S56" s="54">
        <v>167.43333333333337</v>
      </c>
      <c r="T56" s="55">
        <f t="shared" si="5"/>
        <v>5.2757316344813621E-2</v>
      </c>
      <c r="U56" s="54">
        <v>162.06666666666669</v>
      </c>
      <c r="V56" s="54">
        <v>154.03333333333333</v>
      </c>
      <c r="W56" s="55">
        <f t="shared" si="6"/>
        <v>5.2153213590132141E-2</v>
      </c>
      <c r="X56" s="58" t="s">
        <v>86</v>
      </c>
    </row>
    <row r="57" spans="1:24" x14ac:dyDescent="0.25">
      <c r="A57" s="65">
        <v>44440</v>
      </c>
      <c r="B57" s="66">
        <v>163.16666666666666</v>
      </c>
      <c r="C57" s="66">
        <v>164.96153846153845</v>
      </c>
      <c r="D57" s="66">
        <v>162.1</v>
      </c>
      <c r="E57" s="66">
        <v>167.70000000000002</v>
      </c>
      <c r="F57" s="66">
        <v>154.1</v>
      </c>
      <c r="H57" s="53">
        <v>44805</v>
      </c>
      <c r="I57" s="54">
        <f t="shared" si="7"/>
        <v>175.26666666666665</v>
      </c>
      <c r="J57" s="54">
        <f t="shared" si="1"/>
        <v>163.16666666666666</v>
      </c>
      <c r="K57" s="55">
        <f t="shared" si="2"/>
        <v>7.415730337078652E-2</v>
      </c>
      <c r="L57" s="54">
        <v>175.7717948717949</v>
      </c>
      <c r="M57" s="54">
        <v>164.96153846153845</v>
      </c>
      <c r="N57" s="55">
        <f t="shared" si="3"/>
        <v>6.5531981036760945E-2</v>
      </c>
      <c r="O57" s="54">
        <v>169.5</v>
      </c>
      <c r="P57" s="57">
        <v>162.1</v>
      </c>
      <c r="Q57" s="55">
        <f t="shared" si="4"/>
        <v>4.5650832819247311E-2</v>
      </c>
      <c r="R57" s="54">
        <v>177.26666666666665</v>
      </c>
      <c r="S57" s="54">
        <v>167.70000000000002</v>
      </c>
      <c r="T57" s="55">
        <f t="shared" si="5"/>
        <v>5.7046312860266069E-2</v>
      </c>
      <c r="U57" s="54">
        <v>162.46666666666667</v>
      </c>
      <c r="V57" s="54">
        <v>154.1</v>
      </c>
      <c r="W57" s="55">
        <f t="shared" si="6"/>
        <v>5.4293748648064133E-2</v>
      </c>
      <c r="X57" s="58" t="s">
        <v>86</v>
      </c>
    </row>
    <row r="58" spans="1:24" x14ac:dyDescent="0.25">
      <c r="A58" s="65">
        <v>44470</v>
      </c>
      <c r="B58" s="66">
        <v>165.46666666666667</v>
      </c>
      <c r="C58" s="66">
        <v>167.64358974358976</v>
      </c>
      <c r="D58" s="66">
        <v>163.6</v>
      </c>
      <c r="E58" s="66">
        <v>168.36666666666667</v>
      </c>
      <c r="F58" s="66">
        <v>155.79999999999998</v>
      </c>
      <c r="H58" s="53">
        <v>44835</v>
      </c>
      <c r="I58" s="54">
        <f t="shared" si="7"/>
        <v>176.63333333333333</v>
      </c>
      <c r="J58" s="54">
        <f t="shared" si="1"/>
        <v>165.46666666666667</v>
      </c>
      <c r="K58" s="55">
        <f t="shared" si="2"/>
        <v>6.7485898468976568E-2</v>
      </c>
      <c r="L58" s="54">
        <v>177.02820512820514</v>
      </c>
      <c r="M58" s="54">
        <v>167.64358974358976</v>
      </c>
      <c r="N58" s="55">
        <f t="shared" si="3"/>
        <v>5.5979565928939712E-2</v>
      </c>
      <c r="O58" s="54">
        <v>171.19999999999996</v>
      </c>
      <c r="P58" s="57">
        <v>163.6</v>
      </c>
      <c r="Q58" s="55">
        <f t="shared" si="4"/>
        <v>4.6454767726161084E-2</v>
      </c>
      <c r="R58" s="54">
        <v>178.19999999999996</v>
      </c>
      <c r="S58" s="54">
        <v>168.36666666666667</v>
      </c>
      <c r="T58" s="55">
        <f t="shared" si="5"/>
        <v>5.8404276380914277E-2</v>
      </c>
      <c r="U58" s="54">
        <v>163.03333333333333</v>
      </c>
      <c r="V58" s="54">
        <v>155.79999999999998</v>
      </c>
      <c r="W58" s="55">
        <f t="shared" si="6"/>
        <v>4.6427043217800668E-2</v>
      </c>
      <c r="X58" s="58" t="s">
        <v>86</v>
      </c>
    </row>
    <row r="59" spans="1:24" x14ac:dyDescent="0.25">
      <c r="A59" s="65">
        <v>44501</v>
      </c>
      <c r="B59" s="66">
        <v>166.63333333333333</v>
      </c>
      <c r="C59" s="66">
        <v>169.07692307692307</v>
      </c>
      <c r="D59" s="66">
        <v>164.2</v>
      </c>
      <c r="E59" s="66">
        <v>169.16666666666666</v>
      </c>
      <c r="F59" s="66">
        <v>154.96666666666667</v>
      </c>
      <c r="H59" s="53">
        <v>44866</v>
      </c>
      <c r="I59" s="54">
        <f t="shared" si="7"/>
        <v>176.13333333333335</v>
      </c>
      <c r="J59" s="54">
        <f t="shared" si="1"/>
        <v>166.63333333333333</v>
      </c>
      <c r="K59" s="55">
        <f t="shared" si="2"/>
        <v>5.7011402280456203E-2</v>
      </c>
      <c r="L59" s="54">
        <v>176.89487179487182</v>
      </c>
      <c r="M59" s="54">
        <v>169.07692307692307</v>
      </c>
      <c r="N59" s="55">
        <f t="shared" si="3"/>
        <v>4.6239005156202717E-2</v>
      </c>
      <c r="O59" s="54">
        <v>171.80000000000004</v>
      </c>
      <c r="P59" s="57">
        <v>164.2</v>
      </c>
      <c r="Q59" s="55">
        <f t="shared" si="4"/>
        <v>4.6285018270402212E-2</v>
      </c>
      <c r="R59" s="54">
        <v>179.30000000000004</v>
      </c>
      <c r="S59" s="54">
        <v>169.16666666666666</v>
      </c>
      <c r="T59" s="55">
        <f t="shared" si="5"/>
        <v>5.9901477832512651E-2</v>
      </c>
      <c r="U59" s="54">
        <v>163.13333333333333</v>
      </c>
      <c r="V59" s="54">
        <v>154.96666666666667</v>
      </c>
      <c r="W59" s="55">
        <f t="shared" si="6"/>
        <v>5.2699505269950375E-2</v>
      </c>
      <c r="X59" s="58" t="s">
        <v>86</v>
      </c>
    </row>
    <row r="60" spans="1:24" x14ac:dyDescent="0.25">
      <c r="A60" s="65">
        <v>44531</v>
      </c>
      <c r="B60" s="66">
        <v>166.13333333333333</v>
      </c>
      <c r="C60" s="66">
        <v>168.08717948717947</v>
      </c>
      <c r="D60" s="66">
        <v>163.4</v>
      </c>
      <c r="E60" s="66">
        <v>169.9</v>
      </c>
      <c r="F60" s="66">
        <v>155.86666666666667</v>
      </c>
      <c r="H60" s="53">
        <v>44896</v>
      </c>
      <c r="I60" s="54">
        <f t="shared" si="7"/>
        <v>175.63333333333333</v>
      </c>
      <c r="J60" s="54">
        <f t="shared" si="1"/>
        <v>166.13333333333333</v>
      </c>
      <c r="K60" s="55">
        <f t="shared" si="2"/>
        <v>5.7182985553771992E-2</v>
      </c>
      <c r="L60" s="54">
        <v>175.80256410256411</v>
      </c>
      <c r="M60" s="54">
        <v>168.08717948717947</v>
      </c>
      <c r="N60" s="55">
        <f t="shared" si="3"/>
        <v>4.5901089178387311E-2</v>
      </c>
      <c r="O60" s="54">
        <v>170.69999999999996</v>
      </c>
      <c r="P60" s="57">
        <v>163.4</v>
      </c>
      <c r="Q60" s="55">
        <f t="shared" si="4"/>
        <v>4.46756425948589E-2</v>
      </c>
      <c r="R60" s="54">
        <v>180.6</v>
      </c>
      <c r="S60" s="54">
        <v>169.9</v>
      </c>
      <c r="T60" s="55">
        <f t="shared" si="5"/>
        <v>6.2978222483814017E-2</v>
      </c>
      <c r="U60" s="54">
        <v>163.53333333333333</v>
      </c>
      <c r="V60" s="54">
        <v>155.86666666666667</v>
      </c>
      <c r="W60" s="55">
        <f t="shared" si="6"/>
        <v>4.9187339606501235E-2</v>
      </c>
      <c r="X60" s="58" t="s">
        <v>86</v>
      </c>
    </row>
    <row r="61" spans="1:24" x14ac:dyDescent="0.25">
      <c r="A61" s="65">
        <v>44562</v>
      </c>
      <c r="B61" s="66">
        <v>165.70000000000002</v>
      </c>
      <c r="C61" s="66">
        <v>166.76666666666665</v>
      </c>
      <c r="D61" s="66">
        <v>164.5</v>
      </c>
      <c r="E61" s="66">
        <v>170.73333333333335</v>
      </c>
      <c r="F61" s="66">
        <v>156.66666666666666</v>
      </c>
      <c r="H61" s="53">
        <v>44927</v>
      </c>
      <c r="I61" s="54">
        <f t="shared" si="7"/>
        <v>176.4</v>
      </c>
      <c r="J61" s="54">
        <f t="shared" si="1"/>
        <v>165.70000000000002</v>
      </c>
      <c r="K61" s="55">
        <f t="shared" si="2"/>
        <v>6.4574532287266173E-2</v>
      </c>
      <c r="L61" s="54">
        <v>176.56666666666669</v>
      </c>
      <c r="M61" s="54">
        <v>166.76666666666665</v>
      </c>
      <c r="N61" s="55">
        <f t="shared" si="3"/>
        <v>5.8764741155307165E-2</v>
      </c>
      <c r="O61" s="54">
        <v>172.1</v>
      </c>
      <c r="P61" s="57">
        <v>164.5</v>
      </c>
      <c r="Q61" s="55">
        <f t="shared" si="4"/>
        <v>4.6200607902735502E-2</v>
      </c>
      <c r="R61" s="54">
        <v>181.83333333333334</v>
      </c>
      <c r="S61" s="54">
        <v>170.73333333333335</v>
      </c>
      <c r="T61" s="55">
        <f t="shared" si="5"/>
        <v>6.5013666536509085E-2</v>
      </c>
      <c r="U61" s="54">
        <v>163.76666666666668</v>
      </c>
      <c r="V61" s="54">
        <v>156.66666666666666</v>
      </c>
      <c r="W61" s="55">
        <f t="shared" si="6"/>
        <v>4.5319148936170395E-2</v>
      </c>
      <c r="X61" s="58" t="s">
        <v>86</v>
      </c>
    </row>
    <row r="62" spans="1:24" x14ac:dyDescent="0.25">
      <c r="A62" s="65">
        <v>44593</v>
      </c>
      <c r="B62" s="66">
        <v>166.1</v>
      </c>
      <c r="C62" s="66">
        <v>166.54102564102564</v>
      </c>
      <c r="D62" s="66">
        <v>165.5</v>
      </c>
      <c r="E62" s="66">
        <v>171.56666666666669</v>
      </c>
      <c r="F62" s="66">
        <v>157.06666666666666</v>
      </c>
      <c r="H62" s="53">
        <v>44958</v>
      </c>
      <c r="I62" s="54">
        <f t="shared" si="7"/>
        <v>177.16666666666666</v>
      </c>
      <c r="J62" s="54">
        <f t="shared" si="1"/>
        <v>166.1</v>
      </c>
      <c r="K62" s="55">
        <f t="shared" si="2"/>
        <v>6.662653020268916E-2</v>
      </c>
      <c r="L62" s="54">
        <v>175.58974358974356</v>
      </c>
      <c r="M62" s="54">
        <v>166.54102564102564</v>
      </c>
      <c r="N62" s="55">
        <f t="shared" si="3"/>
        <v>5.4333266616372278E-2</v>
      </c>
      <c r="O62" s="54">
        <v>173.5</v>
      </c>
      <c r="P62" s="57">
        <v>165.5</v>
      </c>
      <c r="Q62" s="55">
        <f t="shared" si="4"/>
        <v>4.8338368580060465E-2</v>
      </c>
      <c r="R62" s="54">
        <v>183.93333333333337</v>
      </c>
      <c r="S62" s="54">
        <v>171.56666666666669</v>
      </c>
      <c r="T62" s="55">
        <f t="shared" si="5"/>
        <v>7.2080823780843239E-2</v>
      </c>
      <c r="U62" s="54">
        <v>164.33333333333334</v>
      </c>
      <c r="V62" s="54">
        <v>157.06666666666666</v>
      </c>
      <c r="W62" s="55">
        <f t="shared" si="6"/>
        <v>4.6264855687606188E-2</v>
      </c>
      <c r="X62" s="58" t="s">
        <v>86</v>
      </c>
    </row>
    <row r="63" spans="1:24" x14ac:dyDescent="0.25">
      <c r="A63" s="65">
        <v>44621</v>
      </c>
      <c r="B63" s="66">
        <v>167.63333333333333</v>
      </c>
      <c r="C63" s="66">
        <v>168.19487179487183</v>
      </c>
      <c r="D63" s="66">
        <v>165.3</v>
      </c>
      <c r="E63" s="66">
        <v>172.4</v>
      </c>
      <c r="F63" s="66">
        <v>158.03333333333333</v>
      </c>
      <c r="H63" s="53">
        <v>44986</v>
      </c>
      <c r="I63" s="54">
        <f t="shared" si="7"/>
        <v>177.16666666666666</v>
      </c>
      <c r="J63" s="54">
        <f t="shared" si="1"/>
        <v>167.63333333333333</v>
      </c>
      <c r="K63" s="55">
        <f t="shared" si="2"/>
        <v>5.687015311195065E-2</v>
      </c>
      <c r="L63" s="54">
        <v>175.6</v>
      </c>
      <c r="M63" s="54">
        <v>168.19487179487183</v>
      </c>
      <c r="N63" s="55">
        <f t="shared" si="3"/>
        <v>4.4027074821635148E-2</v>
      </c>
      <c r="O63" s="54">
        <v>173.5</v>
      </c>
      <c r="P63" s="57">
        <v>165.3</v>
      </c>
      <c r="Q63" s="55">
        <f t="shared" si="4"/>
        <v>4.960677555958859E-2</v>
      </c>
      <c r="R63" s="54">
        <v>183.93333333333337</v>
      </c>
      <c r="S63" s="54">
        <v>172.4</v>
      </c>
      <c r="T63" s="55">
        <f t="shared" si="5"/>
        <v>6.6898685228151678E-2</v>
      </c>
      <c r="U63" s="54">
        <v>164.33333333333334</v>
      </c>
      <c r="V63" s="54">
        <v>158.03333333333333</v>
      </c>
      <c r="W63" s="55">
        <f t="shared" si="6"/>
        <v>3.9865007382408946E-2</v>
      </c>
      <c r="X63" s="58" t="s">
        <v>86</v>
      </c>
    </row>
    <row r="64" spans="1:24" x14ac:dyDescent="0.25">
      <c r="A64" s="65">
        <v>44652</v>
      </c>
      <c r="B64" s="66">
        <v>170.03333333333333</v>
      </c>
      <c r="C64" s="66">
        <v>170.54615384615386</v>
      </c>
      <c r="D64" s="66">
        <v>167</v>
      </c>
      <c r="E64" s="66">
        <v>173.33333333333334</v>
      </c>
      <c r="F64" s="66">
        <v>162.69999999999999</v>
      </c>
      <c r="H64" s="53">
        <v>45017</v>
      </c>
      <c r="I64" s="54">
        <f t="shared" si="7"/>
        <v>178.1</v>
      </c>
      <c r="J64" s="54">
        <f t="shared" si="1"/>
        <v>170.03333333333333</v>
      </c>
      <c r="K64" s="55">
        <f t="shared" si="2"/>
        <v>4.7441678102332796E-2</v>
      </c>
      <c r="L64" s="54">
        <v>176.44871794871793</v>
      </c>
      <c r="M64" s="54">
        <v>170.54615384615386</v>
      </c>
      <c r="N64" s="55">
        <f t="shared" si="3"/>
        <v>3.4609775532602471E-2</v>
      </c>
      <c r="O64" s="54">
        <v>175.19999999999996</v>
      </c>
      <c r="P64" s="57">
        <v>167</v>
      </c>
      <c r="Q64" s="55">
        <f t="shared" si="4"/>
        <v>4.9101796407185372E-2</v>
      </c>
      <c r="R64" s="54">
        <v>184.56666666666669</v>
      </c>
      <c r="S64" s="54">
        <v>173.33333333333334</v>
      </c>
      <c r="T64" s="55">
        <f t="shared" si="5"/>
        <v>6.4807692307692344E-2</v>
      </c>
      <c r="U64" s="54">
        <v>164.66666666666666</v>
      </c>
      <c r="V64" s="54">
        <v>162.69999999999999</v>
      </c>
      <c r="W64" s="55">
        <f t="shared" si="6"/>
        <v>1.2087686949395549E-2</v>
      </c>
      <c r="X64" s="58" t="s">
        <v>86</v>
      </c>
    </row>
    <row r="65" spans="1:24" ht="15.75" thickBot="1" x14ac:dyDescent="0.3">
      <c r="A65" s="65">
        <v>44682</v>
      </c>
      <c r="B65" s="66">
        <v>171.66666666666666</v>
      </c>
      <c r="C65" s="66">
        <v>172.5102564102564</v>
      </c>
      <c r="D65" s="66">
        <v>167.5</v>
      </c>
      <c r="E65" s="66">
        <v>174.19999999999996</v>
      </c>
      <c r="F65" s="66">
        <v>163.16666666666666</v>
      </c>
      <c r="H65" s="59">
        <v>45047</v>
      </c>
      <c r="I65" s="60">
        <f t="shared" si="7"/>
        <v>179.0333333333333</v>
      </c>
      <c r="J65" s="60">
        <f t="shared" si="1"/>
        <v>171.66666666666666</v>
      </c>
      <c r="K65" s="61">
        <f t="shared" si="2"/>
        <v>4.2912621359223246E-2</v>
      </c>
      <c r="L65" s="60">
        <v>177.76153846153849</v>
      </c>
      <c r="M65" s="60">
        <v>172.5102564102564</v>
      </c>
      <c r="N65" s="61">
        <f t="shared" si="3"/>
        <v>3.0440404881166616E-2</v>
      </c>
      <c r="O65" s="60">
        <v>175.6</v>
      </c>
      <c r="P65" s="62">
        <v>167.5</v>
      </c>
      <c r="Q65" s="61">
        <f t="shared" si="4"/>
        <v>4.8358208955223914E-2</v>
      </c>
      <c r="R65" s="60">
        <v>185.23333333333335</v>
      </c>
      <c r="S65" s="60">
        <v>174.19999999999996</v>
      </c>
      <c r="T65" s="61">
        <f t="shared" si="5"/>
        <v>6.333716035208603E-2</v>
      </c>
      <c r="U65" s="60">
        <v>164.96666666666667</v>
      </c>
      <c r="V65" s="60">
        <v>163.16666666666666</v>
      </c>
      <c r="W65" s="61">
        <f t="shared" si="6"/>
        <v>1.1031664964249233E-2</v>
      </c>
      <c r="X65" s="63" t="s">
        <v>86</v>
      </c>
    </row>
    <row r="66" spans="1:24" x14ac:dyDescent="0.25">
      <c r="A66" s="65">
        <v>44713</v>
      </c>
      <c r="B66" s="66">
        <v>172.53333333333333</v>
      </c>
      <c r="C66" s="66">
        <v>174.29999999999998</v>
      </c>
      <c r="D66" s="66">
        <v>166.8</v>
      </c>
      <c r="E66" s="66">
        <v>174.83333333333334</v>
      </c>
      <c r="F66" s="66">
        <v>161.26666666666665</v>
      </c>
      <c r="H66" s="46"/>
      <c r="I66" s="30"/>
      <c r="J66" s="31"/>
      <c r="K66" s="30"/>
      <c r="L66" s="30"/>
      <c r="M66" s="30"/>
      <c r="N66" s="31"/>
      <c r="O66" s="30"/>
      <c r="P66" s="31"/>
      <c r="Q66" s="30"/>
      <c r="R66" s="31"/>
    </row>
    <row r="67" spans="1:24" x14ac:dyDescent="0.25">
      <c r="A67" s="65">
        <v>44743</v>
      </c>
      <c r="B67" s="66">
        <v>173.33333333333334</v>
      </c>
      <c r="C67" s="66">
        <v>174.62564102564102</v>
      </c>
      <c r="D67" s="66">
        <v>167.8</v>
      </c>
      <c r="E67" s="66">
        <v>175.5333333333333</v>
      </c>
      <c r="F67" s="66">
        <v>161.76666666666668</v>
      </c>
      <c r="H67" s="46"/>
      <c r="I67" s="30"/>
      <c r="J67" s="31"/>
      <c r="K67" s="30"/>
      <c r="L67" s="31"/>
      <c r="M67" s="30"/>
      <c r="N67" s="31"/>
      <c r="O67" s="30"/>
      <c r="P67" s="31"/>
      <c r="Q67" s="30"/>
      <c r="R67" s="31"/>
    </row>
    <row r="68" spans="1:24" x14ac:dyDescent="0.25">
      <c r="A68" s="65">
        <v>44774</v>
      </c>
      <c r="B68" s="66">
        <v>174.23333333333335</v>
      </c>
      <c r="C68" s="66">
        <v>174.83846153846153</v>
      </c>
      <c r="D68" s="66">
        <v>169</v>
      </c>
      <c r="E68" s="66">
        <v>176.26666666666665</v>
      </c>
      <c r="F68" s="66">
        <v>162.06666666666669</v>
      </c>
      <c r="H68" s="46"/>
      <c r="I68" s="30"/>
      <c r="J68" s="31"/>
      <c r="K68" s="30"/>
      <c r="L68" s="31"/>
      <c r="M68" s="30"/>
      <c r="N68" s="31"/>
      <c r="O68" s="30"/>
      <c r="P68" s="31"/>
      <c r="Q68" s="30"/>
      <c r="R68" s="31"/>
    </row>
    <row r="69" spans="1:24" x14ac:dyDescent="0.25">
      <c r="A69" s="65">
        <v>44805</v>
      </c>
      <c r="B69" s="66">
        <v>175.26666666666665</v>
      </c>
      <c r="C69" s="66">
        <v>175.7717948717949</v>
      </c>
      <c r="D69" s="66">
        <v>169.5</v>
      </c>
      <c r="E69" s="66">
        <v>177.26666666666665</v>
      </c>
      <c r="F69" s="66">
        <v>162.46666666666667</v>
      </c>
      <c r="H69" s="46"/>
      <c r="I69" s="30"/>
      <c r="J69" s="31"/>
      <c r="K69" s="30"/>
      <c r="L69" s="31"/>
      <c r="M69" s="30"/>
      <c r="N69" s="31"/>
      <c r="O69" s="30"/>
      <c r="P69" s="31"/>
      <c r="Q69" s="30"/>
      <c r="R69" s="31"/>
    </row>
    <row r="70" spans="1:24" x14ac:dyDescent="0.25">
      <c r="A70" s="65">
        <v>44835</v>
      </c>
      <c r="B70" s="66">
        <v>176.63333333333333</v>
      </c>
      <c r="C70" s="66">
        <v>177.02820512820514</v>
      </c>
      <c r="D70" s="66">
        <v>171.19999999999996</v>
      </c>
      <c r="E70" s="66">
        <v>178.19999999999996</v>
      </c>
      <c r="F70" s="66">
        <v>163.03333333333333</v>
      </c>
      <c r="H70" s="46"/>
      <c r="I70" s="30"/>
      <c r="J70" s="31"/>
      <c r="K70" s="30"/>
      <c r="L70" s="31"/>
      <c r="M70" s="30"/>
      <c r="N70" s="31"/>
      <c r="O70" s="30"/>
      <c r="P70" s="31"/>
      <c r="Q70" s="30"/>
      <c r="R70" s="31"/>
    </row>
    <row r="71" spans="1:24" ht="15" customHeight="1" x14ac:dyDescent="0.25">
      <c r="A71" s="65">
        <v>44866</v>
      </c>
      <c r="B71" s="66">
        <v>176.13333333333335</v>
      </c>
      <c r="C71" s="66">
        <v>176.89487179487182</v>
      </c>
      <c r="D71" s="66">
        <v>171.80000000000004</v>
      </c>
      <c r="E71" s="66">
        <v>179.30000000000004</v>
      </c>
      <c r="F71" s="66">
        <v>163.13333333333333</v>
      </c>
      <c r="H71" s="46"/>
      <c r="I71" s="116" t="s">
        <v>126</v>
      </c>
      <c r="J71" s="116" t="s">
        <v>127</v>
      </c>
      <c r="K71" s="116" t="s">
        <v>128</v>
      </c>
      <c r="L71" s="116" t="s">
        <v>129</v>
      </c>
      <c r="M71" s="116" t="s">
        <v>130</v>
      </c>
      <c r="N71" s="115" t="s">
        <v>132</v>
      </c>
      <c r="O71" s="30"/>
      <c r="P71" s="31"/>
      <c r="Q71" s="30"/>
      <c r="R71" s="31"/>
    </row>
    <row r="72" spans="1:24" ht="15" customHeight="1" x14ac:dyDescent="0.25">
      <c r="A72" s="65">
        <v>44896</v>
      </c>
      <c r="B72" s="66">
        <v>175.63333333333333</v>
      </c>
      <c r="C72" s="66">
        <v>175.80256410256411</v>
      </c>
      <c r="D72" s="66">
        <v>170.69999999999996</v>
      </c>
      <c r="E72" s="66">
        <v>180.6</v>
      </c>
      <c r="F72" s="66">
        <v>163.53333333333333</v>
      </c>
      <c r="H72" s="46"/>
      <c r="I72" s="116"/>
      <c r="J72" s="116"/>
      <c r="K72" s="116"/>
      <c r="L72" s="116"/>
      <c r="M72" s="116"/>
      <c r="N72" s="115"/>
      <c r="O72" s="30"/>
      <c r="P72" s="31"/>
      <c r="Q72" s="30"/>
      <c r="R72" s="31"/>
    </row>
    <row r="73" spans="1:24" x14ac:dyDescent="0.25">
      <c r="A73" s="65">
        <v>44927</v>
      </c>
      <c r="B73" s="66">
        <v>176.4</v>
      </c>
      <c r="C73" s="66">
        <v>176.56666666666669</v>
      </c>
      <c r="D73" s="66">
        <v>172.1</v>
      </c>
      <c r="E73" s="66">
        <v>181.83333333333334</v>
      </c>
      <c r="F73" s="66">
        <v>163.76666666666668</v>
      </c>
      <c r="H73" s="46"/>
      <c r="I73" s="48" t="s">
        <v>131</v>
      </c>
      <c r="J73" s="27">
        <f>AVERAGEIFS(K14:K65,X14:X65,"Pre-COVID")</f>
        <v>4.4762980600048824E-2</v>
      </c>
      <c r="K73" s="28">
        <f>K27</f>
        <v>6.2455303933253825E-2</v>
      </c>
      <c r="L73" s="27">
        <f>AVERAGEIFS(K14:K65,X14:X65,"Lockdown")</f>
        <v>6.3767180500716947E-2</v>
      </c>
      <c r="M73" s="27">
        <f>AVERAGEIFS(K14:K65,X14:X65,"Post-COVID")</f>
        <v>6.0303647584102386E-2</v>
      </c>
      <c r="N73" s="28">
        <f>M73-J73</f>
        <v>1.5540666984053562E-2</v>
      </c>
      <c r="O73" s="30"/>
      <c r="P73" s="31"/>
      <c r="Q73" s="30"/>
      <c r="R73" s="31"/>
    </row>
    <row r="74" spans="1:24" x14ac:dyDescent="0.25">
      <c r="A74" s="65">
        <v>44958</v>
      </c>
      <c r="B74" s="66">
        <v>177.16666666666666</v>
      </c>
      <c r="C74" s="66">
        <v>175.58974358974356</v>
      </c>
      <c r="D74" s="66">
        <v>173.5</v>
      </c>
      <c r="E74" s="66">
        <v>183.93333333333337</v>
      </c>
      <c r="F74" s="66">
        <v>164.33333333333334</v>
      </c>
      <c r="H74" s="46"/>
      <c r="I74" s="48" t="s">
        <v>51</v>
      </c>
      <c r="J74" s="27">
        <f>AVERAGEIFS(N14:N65,X14:X65,"Pre-COVID")</f>
        <v>4.6027448085184226E-2</v>
      </c>
      <c r="K74" s="28">
        <f>N27</f>
        <v>7.9145561815870735E-2</v>
      </c>
      <c r="L74" s="27">
        <f>AVERAGEIFS(N14:N65,X14:X65,"lockdown")</f>
        <v>0.10330700822073935</v>
      </c>
      <c r="M74" s="27">
        <f>AVERAGEIFS(N14:N65,X14:X65,"Post-COVID")</f>
        <v>6.4084435391799852E-2</v>
      </c>
      <c r="N74" s="28">
        <f>M74-J74</f>
        <v>1.8056987306615625E-2</v>
      </c>
      <c r="O74" s="30"/>
      <c r="P74" s="31"/>
      <c r="Q74" s="30"/>
      <c r="R74" s="31"/>
    </row>
    <row r="75" spans="1:24" x14ac:dyDescent="0.25">
      <c r="A75" s="65">
        <v>44986</v>
      </c>
      <c r="B75" s="66">
        <v>177.16666666666666</v>
      </c>
      <c r="C75" s="66">
        <v>175.6</v>
      </c>
      <c r="D75" s="66">
        <v>173.5</v>
      </c>
      <c r="E75" s="66">
        <v>183.93333333333337</v>
      </c>
      <c r="F75" s="66">
        <v>164.33333333333334</v>
      </c>
      <c r="H75" s="46"/>
      <c r="I75" s="48" t="s">
        <v>23</v>
      </c>
      <c r="J75" s="27">
        <f>AVERAGEIFS(T14:T65,X14:X65,"Pre-COVID")</f>
        <v>7.2504779791394039E-2</v>
      </c>
      <c r="K75" s="28">
        <f>T27</f>
        <v>4.6082949308756005E-2</v>
      </c>
      <c r="L75" s="27">
        <f>AVERAGEIFS(T14:T65,X14:X65,"Lockdown")</f>
        <v>3.5754194773271575E-2</v>
      </c>
      <c r="M75" s="27">
        <f>AVERAGEIFS(T14:T65,X14:X65,"Post-COVID")</f>
        <v>6.4888139747499976E-2</v>
      </c>
      <c r="N75" s="28">
        <f>M75-J75</f>
        <v>-7.6166400438940629E-3</v>
      </c>
      <c r="O75" s="30"/>
      <c r="P75" s="31"/>
      <c r="Q75" s="30"/>
      <c r="R75" s="31"/>
    </row>
    <row r="76" spans="1:24" x14ac:dyDescent="0.25">
      <c r="A76" s="65">
        <v>45017</v>
      </c>
      <c r="B76" s="66">
        <v>178.1</v>
      </c>
      <c r="C76" s="66">
        <v>176.44871794871793</v>
      </c>
      <c r="D76" s="66">
        <v>175.19999999999996</v>
      </c>
      <c r="E76" s="66">
        <v>184.56666666666669</v>
      </c>
      <c r="F76" s="66">
        <v>164.66666666666666</v>
      </c>
      <c r="H76" s="46"/>
      <c r="I76" s="48" t="s">
        <v>55</v>
      </c>
      <c r="J76" s="27">
        <f>AVERAGEIFS(W14:W65,X14:X65,"Pre-COVID")</f>
        <v>2.6134878835609755E-2</v>
      </c>
      <c r="K76" s="28">
        <f>W27</f>
        <v>4.8348106365833976E-2</v>
      </c>
      <c r="L76" s="27">
        <f>AVERAGEIFS(W14:W65,X14:X65,"Lockdown")</f>
        <v>6.1893599766734031E-2</v>
      </c>
      <c r="M76" s="27">
        <f>AVERAGEIFS(W14:W65,X14:X65,"Post-COVID")</f>
        <v>8.3360827549968777E-2</v>
      </c>
      <c r="N76" s="28">
        <f>M76-J76</f>
        <v>5.7225948714359022E-2</v>
      </c>
      <c r="O76" s="30"/>
      <c r="P76" s="31"/>
      <c r="Q76" s="30"/>
      <c r="R76" s="31"/>
    </row>
    <row r="77" spans="1:24" x14ac:dyDescent="0.25">
      <c r="A77" s="65">
        <v>45047</v>
      </c>
      <c r="B77" s="66">
        <v>179.0333333333333</v>
      </c>
      <c r="C77" s="66">
        <v>177.76153846153849</v>
      </c>
      <c r="D77" s="66">
        <v>175.6</v>
      </c>
      <c r="E77" s="66">
        <v>185.23333333333335</v>
      </c>
      <c r="F77" s="66">
        <v>164.96666666666667</v>
      </c>
      <c r="H77" s="46"/>
      <c r="I77" s="49" t="s">
        <v>20</v>
      </c>
      <c r="J77" s="28">
        <f>AVERAGEIFS(Q14:Q65,X14:X65,"Pre-COVID")</f>
        <v>4.9933100109162756E-2</v>
      </c>
      <c r="K77" s="28">
        <f>Q27</f>
        <v>4.0404040404040442E-2</v>
      </c>
      <c r="L77" s="28">
        <f>AVERAGEIFS(Q14:Q65,X14:X65,"Lockdown")</f>
        <v>3.8969769594319636E-2</v>
      </c>
      <c r="M77" s="28">
        <f>AVERAGEIFS(Q14:Q65,X14:X65,"Post-COVID")</f>
        <v>3.8373194184868537E-2</v>
      </c>
      <c r="N77" s="28">
        <f>M77-J77</f>
        <v>-1.155990592429422E-2</v>
      </c>
      <c r="O77" s="30"/>
      <c r="P77" s="31"/>
      <c r="Q77" s="30"/>
      <c r="R77" s="31"/>
    </row>
    <row r="78" spans="1:24" x14ac:dyDescent="0.25">
      <c r="A78" s="65" t="s">
        <v>58</v>
      </c>
      <c r="B78" s="66">
        <v>155.82552083333323</v>
      </c>
      <c r="C78" s="66">
        <v>155.31003605769232</v>
      </c>
      <c r="D78" s="66">
        <v>157.44765624999994</v>
      </c>
      <c r="E78" s="66">
        <v>157.89869791666663</v>
      </c>
      <c r="F78" s="66">
        <v>141.51927083333342</v>
      </c>
    </row>
    <row r="85" spans="1:6" ht="23.25" x14ac:dyDescent="0.35">
      <c r="A85" s="110" t="s">
        <v>155</v>
      </c>
      <c r="B85" s="110"/>
      <c r="C85" s="110"/>
      <c r="D85" s="110"/>
      <c r="E85" s="110"/>
    </row>
    <row r="87" spans="1:6" ht="23.25" x14ac:dyDescent="0.35">
      <c r="A87" s="80" t="s">
        <v>156</v>
      </c>
      <c r="B87" s="80"/>
      <c r="C87" s="80"/>
      <c r="D87" s="80"/>
      <c r="E87" s="80"/>
      <c r="F87" s="81"/>
    </row>
    <row r="90" spans="1:6" ht="23.25" x14ac:dyDescent="0.35">
      <c r="A90" s="82" t="s">
        <v>157</v>
      </c>
      <c r="B90" s="78"/>
      <c r="C90" s="78"/>
      <c r="D90" s="78"/>
    </row>
  </sheetData>
  <mergeCells count="8">
    <mergeCell ref="N71:N72"/>
    <mergeCell ref="A1:B1"/>
    <mergeCell ref="A85:E85"/>
    <mergeCell ref="I71:I72"/>
    <mergeCell ref="J71:J72"/>
    <mergeCell ref="K71:K72"/>
    <mergeCell ref="L71:L72"/>
    <mergeCell ref="M71:M72"/>
  </mergeCells>
  <conditionalFormatting sqref="J73:N73 N74:N7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4:M7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5:M7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:M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J7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3:K7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1:L7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3:M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3:N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1"/>
  <sheetViews>
    <sheetView topLeftCell="H31" zoomScale="85" zoomScaleNormal="85" workbookViewId="0">
      <selection activeCell="N9" sqref="N9:O9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25" bestFit="1" customWidth="1"/>
    <col min="4" max="4" width="19.5703125" bestFit="1" customWidth="1"/>
    <col min="5" max="5" width="24.5703125" bestFit="1" customWidth="1"/>
    <col min="6" max="6" width="13.42578125" bestFit="1" customWidth="1"/>
    <col min="7" max="7" width="24.28515625" bestFit="1" customWidth="1"/>
    <col min="8" max="8" width="10.5703125" bestFit="1" customWidth="1"/>
    <col min="9" max="9" width="26.42578125" bestFit="1" customWidth="1"/>
    <col min="10" max="10" width="22.140625" bestFit="1" customWidth="1"/>
    <col min="11" max="11" width="14.85546875" bestFit="1" customWidth="1"/>
    <col min="13" max="13" width="8.28515625" customWidth="1"/>
    <col min="14" max="14" width="36.42578125" customWidth="1"/>
    <col min="15" max="15" width="16.5703125" customWidth="1"/>
  </cols>
  <sheetData>
    <row r="1" spans="1:15" ht="26.25" x14ac:dyDescent="0.4">
      <c r="G1" s="118" t="s">
        <v>144</v>
      </c>
      <c r="H1" s="118"/>
    </row>
    <row r="4" spans="1:15" x14ac:dyDescent="0.25">
      <c r="A4" s="5" t="s">
        <v>29</v>
      </c>
      <c r="B4" s="7" t="s">
        <v>51</v>
      </c>
      <c r="C4" s="7" t="s">
        <v>52</v>
      </c>
      <c r="D4" s="7" t="s">
        <v>53</v>
      </c>
      <c r="E4" s="7" t="s">
        <v>65</v>
      </c>
      <c r="F4" s="7" t="s">
        <v>54</v>
      </c>
      <c r="G4" s="7" t="s">
        <v>66</v>
      </c>
      <c r="H4" s="7" t="s">
        <v>67</v>
      </c>
      <c r="I4" s="7" t="s">
        <v>55</v>
      </c>
      <c r="J4" s="7" t="s">
        <v>68</v>
      </c>
      <c r="K4" s="7" t="s">
        <v>74</v>
      </c>
    </row>
    <row r="5" spans="1:15" x14ac:dyDescent="0.25">
      <c r="A5" s="1">
        <v>158.5</v>
      </c>
      <c r="B5" s="1">
        <v>158.89999999999998</v>
      </c>
      <c r="C5" s="1">
        <v>184.6</v>
      </c>
      <c r="D5" s="1">
        <v>156.80000000000001</v>
      </c>
      <c r="E5" s="1">
        <v>157.69999999999999</v>
      </c>
      <c r="F5" s="1">
        <v>150.9</v>
      </c>
      <c r="G5" s="1">
        <v>155.05000000000001</v>
      </c>
      <c r="H5" s="1">
        <v>162.5</v>
      </c>
      <c r="I5" s="1">
        <v>147.5</v>
      </c>
      <c r="J5" s="1">
        <v>159.30000000000001</v>
      </c>
      <c r="K5" s="1">
        <v>155.9</v>
      </c>
    </row>
    <row r="6" spans="1:15" x14ac:dyDescent="0.25">
      <c r="A6" s="2">
        <v>156</v>
      </c>
      <c r="B6" s="2">
        <v>161.30769230769232</v>
      </c>
      <c r="C6" s="2">
        <v>191.8</v>
      </c>
      <c r="D6" s="2">
        <v>150.19999999999999</v>
      </c>
      <c r="E6" s="2">
        <v>157.69999999999999</v>
      </c>
      <c r="F6" s="2">
        <v>142.9</v>
      </c>
      <c r="G6" s="2">
        <v>151.69999999999999</v>
      </c>
      <c r="H6" s="2">
        <v>154.1</v>
      </c>
      <c r="I6" s="2">
        <v>136.9</v>
      </c>
      <c r="J6" s="2">
        <v>150.75</v>
      </c>
      <c r="K6" s="2">
        <v>147.6</v>
      </c>
    </row>
    <row r="7" spans="1:15" x14ac:dyDescent="0.25">
      <c r="A7" s="1">
        <v>157.30000000000001</v>
      </c>
      <c r="B7" s="1">
        <v>159.73076923076923</v>
      </c>
      <c r="C7" s="1">
        <v>186.5</v>
      </c>
      <c r="D7" s="1">
        <v>154.19999999999999</v>
      </c>
      <c r="E7" s="1">
        <v>157.69999999999999</v>
      </c>
      <c r="F7" s="1">
        <v>147.9</v>
      </c>
      <c r="G7" s="1">
        <v>153.4</v>
      </c>
      <c r="H7" s="1">
        <v>159.30000000000001</v>
      </c>
      <c r="I7" s="1">
        <v>141.9</v>
      </c>
      <c r="J7" s="1">
        <v>154.39999999999998</v>
      </c>
      <c r="K7" s="1">
        <v>151.9</v>
      </c>
    </row>
    <row r="8" spans="1:15" x14ac:dyDescent="0.25">
      <c r="A8" s="2">
        <v>156.69999999999999</v>
      </c>
      <c r="B8" s="2">
        <v>155.7923076923077</v>
      </c>
      <c r="C8" s="2">
        <v>186.5</v>
      </c>
      <c r="D8" s="2">
        <v>158.4</v>
      </c>
      <c r="E8" s="2">
        <v>159.80000000000001</v>
      </c>
      <c r="F8" s="2">
        <v>154.4</v>
      </c>
      <c r="G8" s="2">
        <v>155</v>
      </c>
      <c r="H8" s="2">
        <v>164.3</v>
      </c>
      <c r="I8" s="2">
        <v>150.19999999999999</v>
      </c>
      <c r="J8" s="2">
        <v>160.30000000000001</v>
      </c>
      <c r="K8" s="2">
        <v>157.19999999999999</v>
      </c>
      <c r="N8" s="20" t="s">
        <v>78</v>
      </c>
      <c r="O8" s="26" t="s">
        <v>29</v>
      </c>
    </row>
    <row r="9" spans="1:15" x14ac:dyDescent="0.25">
      <c r="A9" s="1">
        <v>156.5</v>
      </c>
      <c r="B9" s="1">
        <v>158.92307692307693</v>
      </c>
      <c r="C9" s="1">
        <v>193.3</v>
      </c>
      <c r="D9" s="1">
        <v>151.80000000000001</v>
      </c>
      <c r="E9" s="1">
        <v>159.80000000000001</v>
      </c>
      <c r="F9" s="1">
        <v>149.1</v>
      </c>
      <c r="G9" s="1">
        <v>151.6</v>
      </c>
      <c r="H9" s="1">
        <v>156.30000000000001</v>
      </c>
      <c r="I9" s="1">
        <v>140.5</v>
      </c>
      <c r="J9" s="1">
        <v>151.94999999999999</v>
      </c>
      <c r="K9" s="1">
        <v>149.30000000000001</v>
      </c>
      <c r="N9" s="117">
        <f>CORREL(F5:F91,A5:A91)</f>
        <v>0.98123871515729633</v>
      </c>
      <c r="O9" s="117"/>
    </row>
    <row r="10" spans="1:15" x14ac:dyDescent="0.25">
      <c r="A10" s="2">
        <v>156.6</v>
      </c>
      <c r="B10" s="2">
        <v>156.8692307692308</v>
      </c>
      <c r="C10" s="2">
        <v>188.3</v>
      </c>
      <c r="D10" s="2">
        <v>155.80000000000001</v>
      </c>
      <c r="E10" s="2">
        <v>159.80000000000001</v>
      </c>
      <c r="F10" s="2">
        <v>152.4</v>
      </c>
      <c r="G10" s="2">
        <v>153.35000000000002</v>
      </c>
      <c r="H10" s="2">
        <v>161.30000000000001</v>
      </c>
      <c r="I10" s="2">
        <v>145.1</v>
      </c>
      <c r="J10" s="2">
        <v>155.5</v>
      </c>
      <c r="K10" s="2">
        <v>153.4</v>
      </c>
      <c r="N10" s="19"/>
      <c r="O10" s="19"/>
    </row>
    <row r="11" spans="1:15" x14ac:dyDescent="0.25">
      <c r="A11" s="1">
        <v>156.69999999999999</v>
      </c>
      <c r="B11" s="1">
        <v>155.82307692307694</v>
      </c>
      <c r="C11" s="1">
        <v>186.1</v>
      </c>
      <c r="D11" s="1">
        <v>158.9</v>
      </c>
      <c r="E11" s="1">
        <v>159.9</v>
      </c>
      <c r="F11" s="1">
        <v>156</v>
      </c>
      <c r="G11" s="1">
        <v>153.94999999999999</v>
      </c>
      <c r="H11" s="1">
        <v>164.6</v>
      </c>
      <c r="I11" s="1">
        <v>151.30000000000001</v>
      </c>
      <c r="J11" s="1">
        <v>160.80000000000001</v>
      </c>
      <c r="K11" s="1">
        <v>157.30000000000001</v>
      </c>
      <c r="N11" s="120" t="s">
        <v>82</v>
      </c>
      <c r="O11" s="120"/>
    </row>
    <row r="12" spans="1:15" x14ac:dyDescent="0.25">
      <c r="A12" s="2">
        <v>156.9</v>
      </c>
      <c r="B12" s="2">
        <v>158.80769230769226</v>
      </c>
      <c r="C12" s="2">
        <v>193.5</v>
      </c>
      <c r="D12" s="2">
        <v>152.6</v>
      </c>
      <c r="E12" s="2">
        <v>159.9</v>
      </c>
      <c r="F12" s="2">
        <v>154.80000000000001</v>
      </c>
      <c r="G12" s="2">
        <v>151.05000000000001</v>
      </c>
      <c r="H12" s="2">
        <v>156.9</v>
      </c>
      <c r="I12" s="2">
        <v>141.69999999999999</v>
      </c>
      <c r="J12" s="2">
        <v>153.1</v>
      </c>
      <c r="K12" s="2">
        <v>150</v>
      </c>
      <c r="N12" s="20" t="s">
        <v>78</v>
      </c>
      <c r="O12" s="20" t="s">
        <v>51</v>
      </c>
    </row>
    <row r="13" spans="1:15" x14ac:dyDescent="0.25">
      <c r="A13" s="1">
        <v>156.80000000000001</v>
      </c>
      <c r="B13" s="1">
        <v>156.87692307692308</v>
      </c>
      <c r="C13" s="1">
        <v>188.1</v>
      </c>
      <c r="D13" s="1">
        <v>156.4</v>
      </c>
      <c r="E13" s="1">
        <v>159.9</v>
      </c>
      <c r="F13" s="1">
        <v>155.5</v>
      </c>
      <c r="G13" s="1">
        <v>152.5</v>
      </c>
      <c r="H13" s="1">
        <v>161.69999999999999</v>
      </c>
      <c r="I13" s="1">
        <v>146.19999999999999</v>
      </c>
      <c r="J13" s="1">
        <v>156.39999999999998</v>
      </c>
      <c r="K13" s="1">
        <v>153.80000000000001</v>
      </c>
      <c r="N13" s="117">
        <f>CORREL(F5:F91,B5:B91)</f>
        <v>0.93469273585102186</v>
      </c>
      <c r="O13" s="117"/>
    </row>
    <row r="14" spans="1:15" x14ac:dyDescent="0.25">
      <c r="A14" s="2">
        <v>157.6</v>
      </c>
      <c r="B14" s="2">
        <v>157.65384615384616</v>
      </c>
      <c r="C14" s="2">
        <v>186.8</v>
      </c>
      <c r="D14" s="2">
        <v>159.9</v>
      </c>
      <c r="E14" s="2">
        <v>161.4</v>
      </c>
      <c r="F14" s="2">
        <v>156</v>
      </c>
      <c r="G14" s="2">
        <v>155.05000000000001</v>
      </c>
      <c r="H14" s="2">
        <v>165.3</v>
      </c>
      <c r="I14" s="2">
        <v>151.69999999999999</v>
      </c>
      <c r="J14" s="2">
        <v>161.35</v>
      </c>
      <c r="K14" s="2">
        <v>158</v>
      </c>
      <c r="N14" s="19"/>
      <c r="O14" s="19"/>
    </row>
    <row r="15" spans="1:15" x14ac:dyDescent="0.25">
      <c r="A15" s="1">
        <v>158</v>
      </c>
      <c r="B15" s="1">
        <v>160.73846153846154</v>
      </c>
      <c r="C15" s="1">
        <v>194.4</v>
      </c>
      <c r="D15" s="1">
        <v>153.4</v>
      </c>
      <c r="E15" s="1">
        <v>161.4</v>
      </c>
      <c r="F15" s="1">
        <v>154.9</v>
      </c>
      <c r="G15" s="1">
        <v>152.1</v>
      </c>
      <c r="H15" s="1">
        <v>157.5</v>
      </c>
      <c r="I15" s="1">
        <v>142.1</v>
      </c>
      <c r="J15" s="1">
        <v>153.35</v>
      </c>
      <c r="K15" s="1">
        <v>150.5</v>
      </c>
      <c r="N15" s="120" t="s">
        <v>82</v>
      </c>
      <c r="O15" s="120"/>
    </row>
    <row r="16" spans="1:15" ht="15.75" thickBot="1" x14ac:dyDescent="0.3">
      <c r="A16" s="2">
        <v>157.80000000000001</v>
      </c>
      <c r="B16" s="2">
        <v>158.77692307692308</v>
      </c>
      <c r="C16" s="2">
        <v>188.8</v>
      </c>
      <c r="D16" s="2">
        <v>157.30000000000001</v>
      </c>
      <c r="E16" s="2">
        <v>161.4</v>
      </c>
      <c r="F16" s="2">
        <v>155.6</v>
      </c>
      <c r="G16" s="2">
        <v>153.60000000000002</v>
      </c>
      <c r="H16" s="2">
        <v>162.30000000000001</v>
      </c>
      <c r="I16" s="2">
        <v>146.6</v>
      </c>
      <c r="J16" s="2">
        <v>156.75</v>
      </c>
      <c r="K16" s="2">
        <v>154.4</v>
      </c>
      <c r="N16" s="20" t="s">
        <v>78</v>
      </c>
      <c r="O16" s="20" t="s">
        <v>79</v>
      </c>
    </row>
    <row r="17" spans="1:20" x14ac:dyDescent="0.25">
      <c r="A17" s="1">
        <v>161.1</v>
      </c>
      <c r="B17" s="1">
        <v>161.17692307692306</v>
      </c>
      <c r="C17" s="1">
        <v>189.6</v>
      </c>
      <c r="D17" s="1">
        <v>164.5</v>
      </c>
      <c r="E17" s="1">
        <v>161.6</v>
      </c>
      <c r="F17" s="1">
        <v>161.69999999999999</v>
      </c>
      <c r="G17" s="1">
        <v>159.05000000000001</v>
      </c>
      <c r="H17" s="1">
        <v>169.1</v>
      </c>
      <c r="I17" s="1">
        <v>153.19999999999999</v>
      </c>
      <c r="J17" s="1">
        <v>163.80000000000001</v>
      </c>
      <c r="K17" s="1">
        <v>161.1</v>
      </c>
      <c r="N17" s="117">
        <f>CORREL(F5:F91,I5:I91)</f>
        <v>0.89217062133422786</v>
      </c>
      <c r="O17" s="117"/>
      <c r="S17" s="21">
        <v>1</v>
      </c>
      <c r="T17" s="123" t="s">
        <v>83</v>
      </c>
    </row>
    <row r="18" spans="1:20" x14ac:dyDescent="0.25">
      <c r="A18" s="2">
        <v>159.5</v>
      </c>
      <c r="B18" s="2">
        <v>163.43846153846155</v>
      </c>
      <c r="C18" s="2">
        <v>198.2</v>
      </c>
      <c r="D18" s="2">
        <v>154.1</v>
      </c>
      <c r="E18" s="2">
        <v>161.6</v>
      </c>
      <c r="F18" s="2">
        <v>155.5</v>
      </c>
      <c r="G18" s="2">
        <v>153.80000000000001</v>
      </c>
      <c r="H18" s="2">
        <v>160.4</v>
      </c>
      <c r="I18" s="2">
        <v>145</v>
      </c>
      <c r="J18" s="2">
        <v>154.6</v>
      </c>
      <c r="K18" s="2">
        <v>152.30000000000001</v>
      </c>
      <c r="N18" s="19"/>
      <c r="O18" s="19"/>
      <c r="S18" s="22"/>
      <c r="T18" s="121"/>
    </row>
    <row r="19" spans="1:20" x14ac:dyDescent="0.25">
      <c r="A19" s="1">
        <v>160.4</v>
      </c>
      <c r="B19" s="1">
        <v>161.9769230769231</v>
      </c>
      <c r="C19" s="1">
        <v>191.9</v>
      </c>
      <c r="D19" s="1">
        <v>160.4</v>
      </c>
      <c r="E19" s="1">
        <v>161.6</v>
      </c>
      <c r="F19" s="1">
        <v>159.4</v>
      </c>
      <c r="G19" s="1">
        <v>156.64999999999998</v>
      </c>
      <c r="H19" s="1">
        <v>165.8</v>
      </c>
      <c r="I19" s="1">
        <v>148.9</v>
      </c>
      <c r="J19" s="1">
        <v>158.5</v>
      </c>
      <c r="K19" s="1">
        <v>156.80000000000001</v>
      </c>
      <c r="N19" s="120" t="s">
        <v>82</v>
      </c>
      <c r="O19" s="120"/>
      <c r="S19" s="22"/>
      <c r="T19" s="23"/>
    </row>
    <row r="20" spans="1:20" x14ac:dyDescent="0.25">
      <c r="A20" s="2">
        <v>162.1</v>
      </c>
      <c r="B20" s="2">
        <v>163.27692307692308</v>
      </c>
      <c r="C20" s="2">
        <v>189.1</v>
      </c>
      <c r="D20" s="2">
        <v>164.6</v>
      </c>
      <c r="E20" s="2">
        <v>160.5</v>
      </c>
      <c r="F20" s="2">
        <v>162.1</v>
      </c>
      <c r="G20" s="2">
        <v>159.30000000000001</v>
      </c>
      <c r="H20" s="2">
        <v>169.7</v>
      </c>
      <c r="I20" s="2">
        <v>154.19999999999999</v>
      </c>
      <c r="J20" s="2">
        <v>163.60000000000002</v>
      </c>
      <c r="K20" s="2">
        <v>161.5</v>
      </c>
      <c r="N20" s="20" t="s">
        <v>78</v>
      </c>
      <c r="O20" s="20" t="s">
        <v>80</v>
      </c>
      <c r="S20" s="22">
        <v>2</v>
      </c>
      <c r="T20" s="121" t="s">
        <v>84</v>
      </c>
    </row>
    <row r="21" spans="1:20" ht="15.75" thickBot="1" x14ac:dyDescent="0.3">
      <c r="A21" s="1">
        <v>160.4</v>
      </c>
      <c r="B21" s="1">
        <v>165.7076923076923</v>
      </c>
      <c r="C21" s="1">
        <v>195.6</v>
      </c>
      <c r="D21" s="1">
        <v>154.80000000000001</v>
      </c>
      <c r="E21" s="1">
        <v>160.5</v>
      </c>
      <c r="F21" s="1">
        <v>156.1</v>
      </c>
      <c r="G21" s="1">
        <v>153.9</v>
      </c>
      <c r="H21" s="1">
        <v>160.80000000000001</v>
      </c>
      <c r="I21" s="1">
        <v>147.5</v>
      </c>
      <c r="J21" s="1">
        <v>154.39999999999998</v>
      </c>
      <c r="K21" s="1">
        <v>153.4</v>
      </c>
      <c r="N21" s="117">
        <f>CORREL(F5:F91,G5:G91)</f>
        <v>0.95215829664743568</v>
      </c>
      <c r="O21" s="117"/>
      <c r="S21" s="24"/>
      <c r="T21" s="122"/>
    </row>
    <row r="22" spans="1:20" x14ac:dyDescent="0.25">
      <c r="A22" s="2">
        <v>161.30000000000001</v>
      </c>
      <c r="B22" s="2">
        <v>164.14615384615385</v>
      </c>
      <c r="C22" s="2">
        <v>190.8</v>
      </c>
      <c r="D22" s="2">
        <v>160.69999999999999</v>
      </c>
      <c r="E22" s="2">
        <v>160.5</v>
      </c>
      <c r="F22" s="2">
        <v>159.80000000000001</v>
      </c>
      <c r="G22" s="2">
        <v>156.80000000000001</v>
      </c>
      <c r="H22" s="2">
        <v>166.3</v>
      </c>
      <c r="I22" s="2">
        <v>150.69999999999999</v>
      </c>
      <c r="J22" s="2">
        <v>158.30000000000001</v>
      </c>
      <c r="K22" s="2">
        <v>157.6</v>
      </c>
      <c r="N22" s="19"/>
      <c r="O22" s="19"/>
    </row>
    <row r="23" spans="1:20" x14ac:dyDescent="0.25">
      <c r="A23" s="1">
        <v>163.19999999999999</v>
      </c>
      <c r="B23" s="1">
        <v>164.03076923076924</v>
      </c>
      <c r="C23" s="1">
        <v>189.7</v>
      </c>
      <c r="D23" s="1">
        <v>165.3</v>
      </c>
      <c r="E23" s="1">
        <v>161.5</v>
      </c>
      <c r="F23" s="1">
        <v>162.5</v>
      </c>
      <c r="G23" s="1">
        <v>160.35000000000002</v>
      </c>
      <c r="H23" s="1">
        <v>170.4</v>
      </c>
      <c r="I23" s="1">
        <v>157.1</v>
      </c>
      <c r="J23" s="1">
        <v>163.95</v>
      </c>
      <c r="K23" s="1">
        <v>162.80000000000001</v>
      </c>
      <c r="N23" s="120" t="s">
        <v>82</v>
      </c>
      <c r="O23" s="120"/>
    </row>
    <row r="24" spans="1:20" x14ac:dyDescent="0.25">
      <c r="A24" s="2">
        <v>161.80000000000001</v>
      </c>
      <c r="B24" s="2">
        <v>167.06153846153848</v>
      </c>
      <c r="C24" s="2">
        <v>195.5</v>
      </c>
      <c r="D24" s="2">
        <v>155.5</v>
      </c>
      <c r="E24" s="2">
        <v>161.5</v>
      </c>
      <c r="F24" s="2">
        <v>157.69999999999999</v>
      </c>
      <c r="G24" s="2">
        <v>155.14999999999998</v>
      </c>
      <c r="H24" s="2">
        <v>161.5</v>
      </c>
      <c r="I24" s="2">
        <v>149.5</v>
      </c>
      <c r="J24" s="2">
        <v>155.75</v>
      </c>
      <c r="K24" s="2">
        <v>155</v>
      </c>
      <c r="N24" s="20" t="s">
        <v>78</v>
      </c>
      <c r="O24" s="20" t="s">
        <v>67</v>
      </c>
    </row>
    <row r="25" spans="1:20" x14ac:dyDescent="0.25">
      <c r="A25" s="1">
        <v>162.5</v>
      </c>
      <c r="B25" s="1">
        <v>165.15384615384616</v>
      </c>
      <c r="C25" s="1">
        <v>191.2</v>
      </c>
      <c r="D25" s="1">
        <v>161.4</v>
      </c>
      <c r="E25" s="1">
        <v>161.5</v>
      </c>
      <c r="F25" s="1">
        <v>160.69999999999999</v>
      </c>
      <c r="G25" s="1">
        <v>157.94999999999999</v>
      </c>
      <c r="H25" s="1">
        <v>167</v>
      </c>
      <c r="I25" s="1">
        <v>153.1</v>
      </c>
      <c r="J25" s="1">
        <v>159.25</v>
      </c>
      <c r="K25" s="1">
        <v>159</v>
      </c>
      <c r="N25" s="117">
        <f>CORREL(F5:F91,H5:H91)</f>
        <v>0.92792269704401253</v>
      </c>
      <c r="O25" s="117"/>
    </row>
    <row r="26" spans="1:20" x14ac:dyDescent="0.25">
      <c r="A26" s="2">
        <v>163.6</v>
      </c>
      <c r="B26" s="2">
        <v>163.90769230769232</v>
      </c>
      <c r="C26" s="2">
        <v>190.2</v>
      </c>
      <c r="D26" s="2">
        <v>166.3</v>
      </c>
      <c r="E26" s="2">
        <v>162.1</v>
      </c>
      <c r="F26" s="2">
        <v>163.1</v>
      </c>
      <c r="G26" s="2">
        <v>160.60000000000002</v>
      </c>
      <c r="H26" s="2">
        <v>171.1</v>
      </c>
      <c r="I26" s="2">
        <v>157.69999999999999</v>
      </c>
      <c r="J26" s="2">
        <v>164.3</v>
      </c>
      <c r="K26" s="2">
        <v>163.30000000000001</v>
      </c>
      <c r="N26" s="19"/>
      <c r="O26" s="19"/>
    </row>
    <row r="27" spans="1:20" x14ac:dyDescent="0.25">
      <c r="A27" s="1">
        <v>162.30000000000001</v>
      </c>
      <c r="B27" s="1">
        <v>165.99230769230769</v>
      </c>
      <c r="C27" s="1">
        <v>196.5</v>
      </c>
      <c r="D27" s="1">
        <v>157.30000000000001</v>
      </c>
      <c r="E27" s="1">
        <v>162.1</v>
      </c>
      <c r="F27" s="1">
        <v>160.69999999999999</v>
      </c>
      <c r="G27" s="1">
        <v>156.39999999999998</v>
      </c>
      <c r="H27" s="1">
        <v>162.80000000000001</v>
      </c>
      <c r="I27" s="1">
        <v>150.4</v>
      </c>
      <c r="J27" s="1">
        <v>157.05000000000001</v>
      </c>
      <c r="K27" s="1">
        <v>156</v>
      </c>
      <c r="N27" s="120" t="s">
        <v>82</v>
      </c>
      <c r="O27" s="120"/>
    </row>
    <row r="28" spans="1:20" x14ac:dyDescent="0.25">
      <c r="A28" s="2">
        <v>163.19999999999999</v>
      </c>
      <c r="B28" s="2">
        <v>164.76923076923077</v>
      </c>
      <c r="C28" s="2">
        <v>192.1</v>
      </c>
      <c r="D28" s="2">
        <v>163.19999999999999</v>
      </c>
      <c r="E28" s="2">
        <v>162.1</v>
      </c>
      <c r="F28" s="2">
        <v>162.6</v>
      </c>
      <c r="G28" s="2">
        <v>158.75</v>
      </c>
      <c r="H28" s="2">
        <v>168.4</v>
      </c>
      <c r="I28" s="2">
        <v>154</v>
      </c>
      <c r="J28" s="2">
        <v>160.69999999999999</v>
      </c>
      <c r="K28" s="2">
        <v>160</v>
      </c>
      <c r="N28" s="20" t="s">
        <v>78</v>
      </c>
      <c r="O28" s="20" t="s">
        <v>81</v>
      </c>
    </row>
    <row r="29" spans="1:20" x14ac:dyDescent="0.25">
      <c r="A29" s="1">
        <v>164</v>
      </c>
      <c r="B29" s="1">
        <v>164.12307692307692</v>
      </c>
      <c r="C29" s="1">
        <v>190.5</v>
      </c>
      <c r="D29" s="1">
        <v>167.1</v>
      </c>
      <c r="E29" s="1">
        <v>162.1</v>
      </c>
      <c r="F29" s="1">
        <v>163.69999999999999</v>
      </c>
      <c r="G29" s="1">
        <v>160.75</v>
      </c>
      <c r="H29" s="1">
        <v>171.9</v>
      </c>
      <c r="I29" s="1">
        <v>157.80000000000001</v>
      </c>
      <c r="J29" s="1">
        <v>165.6</v>
      </c>
      <c r="K29" s="1">
        <v>163.80000000000001</v>
      </c>
      <c r="N29" s="117">
        <f>CORREL(F5:F91,J5:J91)</f>
        <v>0.93225709220393271</v>
      </c>
      <c r="O29" s="117"/>
    </row>
    <row r="30" spans="1:20" x14ac:dyDescent="0.25">
      <c r="A30" s="2">
        <v>162.30000000000001</v>
      </c>
      <c r="B30" s="2">
        <v>165.99230769230769</v>
      </c>
      <c r="C30" s="2">
        <v>196.5</v>
      </c>
      <c r="D30" s="2">
        <v>157.4</v>
      </c>
      <c r="E30" s="2">
        <v>162.1</v>
      </c>
      <c r="F30" s="2">
        <v>160.80000000000001</v>
      </c>
      <c r="G30" s="2">
        <v>156.44999999999999</v>
      </c>
      <c r="H30" s="2">
        <v>162.80000000000001</v>
      </c>
      <c r="I30" s="2">
        <v>150.5</v>
      </c>
      <c r="J30" s="2">
        <v>157.10000000000002</v>
      </c>
      <c r="K30" s="2">
        <v>156</v>
      </c>
      <c r="N30" s="19"/>
      <c r="O30" s="19"/>
    </row>
    <row r="31" spans="1:20" x14ac:dyDescent="0.25">
      <c r="A31" s="1">
        <v>163.19999999999999</v>
      </c>
      <c r="B31" s="1">
        <v>164.76923076923077</v>
      </c>
      <c r="C31" s="1">
        <v>192.1</v>
      </c>
      <c r="D31" s="1">
        <v>163.30000000000001</v>
      </c>
      <c r="E31" s="1">
        <v>162.1</v>
      </c>
      <c r="F31" s="1">
        <v>162.6</v>
      </c>
      <c r="G31" s="1">
        <v>158.75</v>
      </c>
      <c r="H31" s="1">
        <v>168.4</v>
      </c>
      <c r="I31" s="1">
        <v>154</v>
      </c>
      <c r="J31" s="1">
        <v>160.69999999999999</v>
      </c>
      <c r="K31" s="1">
        <v>160</v>
      </c>
      <c r="N31" s="120" t="s">
        <v>82</v>
      </c>
      <c r="O31" s="120"/>
    </row>
    <row r="32" spans="1:20" x14ac:dyDescent="0.25">
      <c r="A32" s="2">
        <v>166.3</v>
      </c>
      <c r="B32" s="2">
        <v>166.47692307692307</v>
      </c>
      <c r="C32" s="2">
        <v>191.2</v>
      </c>
      <c r="D32" s="2">
        <v>168.3</v>
      </c>
      <c r="E32" s="2">
        <v>163.6</v>
      </c>
      <c r="F32" s="2">
        <v>165.5</v>
      </c>
      <c r="G32" s="2">
        <v>161.55000000000001</v>
      </c>
      <c r="H32" s="2">
        <v>172.5</v>
      </c>
      <c r="I32" s="2">
        <v>159.5</v>
      </c>
      <c r="J32" s="2">
        <v>166.1</v>
      </c>
      <c r="K32" s="2">
        <v>164.7</v>
      </c>
      <c r="N32" s="20" t="s">
        <v>78</v>
      </c>
      <c r="O32" s="25" t="s">
        <v>28</v>
      </c>
    </row>
    <row r="33" spans="1:29" x14ac:dyDescent="0.25">
      <c r="A33" s="1">
        <v>164.6</v>
      </c>
      <c r="B33" s="1">
        <v>169.10769230769236</v>
      </c>
      <c r="C33" s="1">
        <v>197</v>
      </c>
      <c r="D33" s="1">
        <v>158.30000000000001</v>
      </c>
      <c r="E33" s="1">
        <v>163.6</v>
      </c>
      <c r="F33" s="1">
        <v>162.19999999999999</v>
      </c>
      <c r="G33" s="1">
        <v>157.30000000000001</v>
      </c>
      <c r="H33" s="1">
        <v>163.5</v>
      </c>
      <c r="I33" s="1">
        <v>152.19999999999999</v>
      </c>
      <c r="J33" s="1">
        <v>157.69999999999999</v>
      </c>
      <c r="K33" s="1">
        <v>157</v>
      </c>
      <c r="N33" s="117">
        <f>CORREL(F5:F91,K5:K91)</f>
        <v>0.92929760968137798</v>
      </c>
      <c r="O33" s="117"/>
    </row>
    <row r="34" spans="1:29" x14ac:dyDescent="0.25">
      <c r="A34" s="2">
        <v>165.5</v>
      </c>
      <c r="B34" s="2">
        <v>167.34615384615384</v>
      </c>
      <c r="C34" s="2">
        <v>192.7</v>
      </c>
      <c r="D34" s="2">
        <v>164.3</v>
      </c>
      <c r="E34" s="2">
        <v>163.6</v>
      </c>
      <c r="F34" s="2">
        <v>164.2</v>
      </c>
      <c r="G34" s="2">
        <v>159.60000000000002</v>
      </c>
      <c r="H34" s="2">
        <v>169.1</v>
      </c>
      <c r="I34" s="2">
        <v>155.69999999999999</v>
      </c>
      <c r="J34" s="2">
        <v>161.25</v>
      </c>
      <c r="K34" s="2">
        <v>161</v>
      </c>
    </row>
    <row r="35" spans="1:29" x14ac:dyDescent="0.25">
      <c r="A35" s="1">
        <v>167.6</v>
      </c>
      <c r="B35" s="1">
        <v>167.84615384615384</v>
      </c>
      <c r="C35" s="1">
        <v>191.4</v>
      </c>
      <c r="D35" s="1">
        <v>169.8</v>
      </c>
      <c r="E35" s="1">
        <v>164.2</v>
      </c>
      <c r="F35" s="1">
        <v>165.3</v>
      </c>
      <c r="G35" s="1">
        <v>162.65</v>
      </c>
      <c r="H35" s="1">
        <v>173.4</v>
      </c>
      <c r="I35" s="1">
        <v>158.9</v>
      </c>
      <c r="J35" s="1">
        <v>166.55</v>
      </c>
      <c r="K35" s="1">
        <v>165.2</v>
      </c>
    </row>
    <row r="36" spans="1:29" x14ac:dyDescent="0.25">
      <c r="A36" s="2">
        <v>165.6</v>
      </c>
      <c r="B36" s="2">
        <v>170.60769230769228</v>
      </c>
      <c r="C36" s="2">
        <v>197</v>
      </c>
      <c r="D36" s="2">
        <v>159.69999999999999</v>
      </c>
      <c r="E36" s="2">
        <v>164.2</v>
      </c>
      <c r="F36" s="2">
        <v>161.6</v>
      </c>
      <c r="G36" s="2">
        <v>158.5</v>
      </c>
      <c r="H36" s="2">
        <v>164.2</v>
      </c>
      <c r="I36" s="2">
        <v>151.19999999999999</v>
      </c>
      <c r="J36" s="2">
        <v>158.75</v>
      </c>
      <c r="K36" s="2">
        <v>157.30000000000001</v>
      </c>
    </row>
    <row r="37" spans="1:29" ht="21" x14ac:dyDescent="0.35">
      <c r="A37" s="1">
        <v>166.7</v>
      </c>
      <c r="B37" s="1">
        <v>168.77692307692308</v>
      </c>
      <c r="C37" s="1">
        <v>192.9</v>
      </c>
      <c r="D37" s="1">
        <v>165.8</v>
      </c>
      <c r="E37" s="1">
        <v>164.2</v>
      </c>
      <c r="F37" s="1">
        <v>163.9</v>
      </c>
      <c r="G37" s="1">
        <v>160.75</v>
      </c>
      <c r="H37" s="1">
        <v>169.9</v>
      </c>
      <c r="I37" s="1">
        <v>154.80000000000001</v>
      </c>
      <c r="J37" s="1">
        <v>162.05000000000001</v>
      </c>
      <c r="K37" s="1">
        <v>161.4</v>
      </c>
      <c r="N37" s="119" t="s">
        <v>158</v>
      </c>
      <c r="O37" s="119"/>
      <c r="P37" s="119"/>
      <c r="Q37" s="119"/>
      <c r="R37" s="119"/>
      <c r="S37" s="119"/>
      <c r="T37" s="119"/>
      <c r="U37" s="119"/>
    </row>
    <row r="38" spans="1:29" x14ac:dyDescent="0.25">
      <c r="A38" s="2">
        <v>167</v>
      </c>
      <c r="B38" s="2">
        <v>166.78461538461536</v>
      </c>
      <c r="C38" s="2">
        <v>190.8</v>
      </c>
      <c r="D38" s="2">
        <v>171.2</v>
      </c>
      <c r="E38" s="2">
        <v>163.4</v>
      </c>
      <c r="F38" s="2">
        <v>165.6</v>
      </c>
      <c r="G38" s="2">
        <v>163.35000000000002</v>
      </c>
      <c r="H38" s="2">
        <v>174</v>
      </c>
      <c r="I38" s="2">
        <v>160.1</v>
      </c>
      <c r="J38" s="2">
        <v>167.1</v>
      </c>
      <c r="K38" s="2">
        <v>166</v>
      </c>
    </row>
    <row r="39" spans="1:29" ht="21" x14ac:dyDescent="0.35">
      <c r="A39" s="1">
        <v>165.2</v>
      </c>
      <c r="B39" s="1">
        <v>169.71538461538464</v>
      </c>
      <c r="C39" s="1">
        <v>196.8</v>
      </c>
      <c r="D39" s="1">
        <v>160.69999999999999</v>
      </c>
      <c r="E39" s="1">
        <v>163.4</v>
      </c>
      <c r="F39" s="1">
        <v>161.69999999999999</v>
      </c>
      <c r="G39" s="1">
        <v>159.19999999999999</v>
      </c>
      <c r="H39" s="1">
        <v>165.1</v>
      </c>
      <c r="I39" s="1">
        <v>151.80000000000001</v>
      </c>
      <c r="J39" s="1">
        <v>159.1</v>
      </c>
      <c r="K39" s="1">
        <v>157.80000000000001</v>
      </c>
      <c r="N39" s="84" t="s">
        <v>159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 spans="1:29" x14ac:dyDescent="0.25">
      <c r="A40" s="2">
        <v>166.2</v>
      </c>
      <c r="B40" s="2">
        <v>167.76153846153846</v>
      </c>
      <c r="C40" s="2">
        <v>192.4</v>
      </c>
      <c r="D40" s="2">
        <v>167</v>
      </c>
      <c r="E40" s="2">
        <v>163.4</v>
      </c>
      <c r="F40" s="2">
        <v>164.1</v>
      </c>
      <c r="G40" s="2">
        <v>161.39999999999998</v>
      </c>
      <c r="H40" s="2">
        <v>170.6</v>
      </c>
      <c r="I40" s="2">
        <v>155.69999999999999</v>
      </c>
      <c r="J40" s="2">
        <v>162.5</v>
      </c>
      <c r="K40" s="2">
        <v>162</v>
      </c>
    </row>
    <row r="41" spans="1:29" ht="21" x14ac:dyDescent="0.35">
      <c r="A41" s="1">
        <v>166.4</v>
      </c>
      <c r="B41" s="1">
        <v>165.61538461538461</v>
      </c>
      <c r="C41" s="1">
        <v>190.7</v>
      </c>
      <c r="D41" s="1">
        <v>172.7</v>
      </c>
      <c r="E41" s="1">
        <v>164.5</v>
      </c>
      <c r="F41" s="1">
        <v>165.8</v>
      </c>
      <c r="G41" s="1">
        <v>164.05</v>
      </c>
      <c r="H41" s="1">
        <v>174.7</v>
      </c>
      <c r="I41" s="1">
        <v>160.80000000000001</v>
      </c>
      <c r="J41" s="1">
        <v>167.4</v>
      </c>
      <c r="K41" s="1">
        <v>166.6</v>
      </c>
      <c r="N41" s="84" t="s">
        <v>160</v>
      </c>
      <c r="O41" s="84"/>
      <c r="P41" s="84"/>
      <c r="Q41" s="84"/>
      <c r="R41" s="84"/>
      <c r="S41" s="84"/>
      <c r="T41" s="84"/>
      <c r="U41" s="84"/>
      <c r="V41" s="84"/>
    </row>
    <row r="42" spans="1:29" ht="21" x14ac:dyDescent="0.25">
      <c r="A42" s="2">
        <v>165</v>
      </c>
      <c r="B42" s="2">
        <v>168.2076923076923</v>
      </c>
      <c r="C42" s="2">
        <v>196.4</v>
      </c>
      <c r="D42" s="2">
        <v>162.19999999999999</v>
      </c>
      <c r="E42" s="2">
        <v>164.5</v>
      </c>
      <c r="F42" s="2">
        <v>161.6</v>
      </c>
      <c r="G42" s="2">
        <v>159.80000000000001</v>
      </c>
      <c r="H42" s="2">
        <v>166.1</v>
      </c>
      <c r="I42" s="2">
        <v>152.69999999999999</v>
      </c>
      <c r="J42" s="2">
        <v>159.69999999999999</v>
      </c>
      <c r="K42" s="2">
        <v>158.6</v>
      </c>
      <c r="N42" s="83" t="s">
        <v>161</v>
      </c>
      <c r="O42" s="83"/>
      <c r="P42" s="83"/>
      <c r="Q42" s="83"/>
      <c r="R42" s="83"/>
      <c r="S42" s="83"/>
      <c r="T42" s="83"/>
      <c r="U42" s="83"/>
      <c r="V42" s="83"/>
    </row>
    <row r="43" spans="1:29" x14ac:dyDescent="0.25">
      <c r="A43" s="1">
        <v>165.7</v>
      </c>
      <c r="B43" s="1">
        <v>166.47692307692307</v>
      </c>
      <c r="C43" s="1">
        <v>192.2</v>
      </c>
      <c r="D43" s="1">
        <v>168.5</v>
      </c>
      <c r="E43" s="1">
        <v>164.5</v>
      </c>
      <c r="F43" s="1">
        <v>164.2</v>
      </c>
      <c r="G43" s="1">
        <v>162.05000000000001</v>
      </c>
      <c r="H43" s="1">
        <v>171.4</v>
      </c>
      <c r="I43" s="1">
        <v>156.5</v>
      </c>
      <c r="J43" s="1">
        <v>162.94999999999999</v>
      </c>
      <c r="K43" s="1">
        <v>162.69999999999999</v>
      </c>
    </row>
    <row r="44" spans="1:29" x14ac:dyDescent="0.25">
      <c r="A44" s="2">
        <v>166.7</v>
      </c>
      <c r="B44" s="2">
        <v>165.41538461538462</v>
      </c>
      <c r="C44" s="2">
        <v>191.5</v>
      </c>
      <c r="D44" s="2">
        <v>173.7</v>
      </c>
      <c r="E44" s="2">
        <v>165.5</v>
      </c>
      <c r="F44" s="2">
        <v>167.4</v>
      </c>
      <c r="G44" s="2">
        <v>165.1</v>
      </c>
      <c r="H44" s="2">
        <v>175.3</v>
      </c>
      <c r="I44" s="2">
        <v>161.19999999999999</v>
      </c>
      <c r="J44" s="2">
        <v>167.9</v>
      </c>
      <c r="K44" s="2">
        <v>167.3</v>
      </c>
    </row>
    <row r="45" spans="1:29" x14ac:dyDescent="0.25">
      <c r="A45" s="1">
        <v>165.5</v>
      </c>
      <c r="B45" s="1">
        <v>167.96153846153845</v>
      </c>
      <c r="C45" s="1">
        <v>196.5</v>
      </c>
      <c r="D45" s="1">
        <v>163.4</v>
      </c>
      <c r="E45" s="1">
        <v>165.5</v>
      </c>
      <c r="F45" s="1">
        <v>163</v>
      </c>
      <c r="G45" s="1">
        <v>160.80000000000001</v>
      </c>
      <c r="H45" s="1">
        <v>167.2</v>
      </c>
      <c r="I45" s="1">
        <v>153.1</v>
      </c>
      <c r="J45" s="1">
        <v>160.75</v>
      </c>
      <c r="K45" s="1">
        <v>159.4</v>
      </c>
    </row>
    <row r="46" spans="1:29" ht="21" x14ac:dyDescent="0.35">
      <c r="A46" s="2">
        <v>166.1</v>
      </c>
      <c r="B46" s="2">
        <v>166.24615384615387</v>
      </c>
      <c r="C46" s="2">
        <v>192.8</v>
      </c>
      <c r="D46" s="2">
        <v>169.6</v>
      </c>
      <c r="E46" s="2">
        <v>165.5</v>
      </c>
      <c r="F46" s="2">
        <v>165.7</v>
      </c>
      <c r="G46" s="2">
        <v>163.10000000000002</v>
      </c>
      <c r="H46" s="2">
        <v>172.2</v>
      </c>
      <c r="I46" s="2">
        <v>156.9</v>
      </c>
      <c r="J46" s="2">
        <v>163.75</v>
      </c>
      <c r="K46" s="2">
        <v>163.5</v>
      </c>
      <c r="N46" s="85" t="s">
        <v>162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1:29" x14ac:dyDescent="0.25">
      <c r="A47" s="1">
        <v>168.7</v>
      </c>
      <c r="B47" s="1">
        <v>167.62307692307695</v>
      </c>
      <c r="C47" s="1">
        <v>192.3</v>
      </c>
      <c r="D47" s="1">
        <v>175.1</v>
      </c>
      <c r="E47" s="1">
        <v>165.3</v>
      </c>
      <c r="F47" s="1">
        <v>168.9</v>
      </c>
      <c r="G47" s="1">
        <v>166.95</v>
      </c>
      <c r="H47" s="1">
        <v>176</v>
      </c>
      <c r="I47" s="1">
        <v>162</v>
      </c>
      <c r="J47" s="1">
        <v>168.6</v>
      </c>
      <c r="K47" s="1">
        <v>168.3</v>
      </c>
    </row>
    <row r="48" spans="1:29" x14ac:dyDescent="0.25">
      <c r="A48" s="2">
        <v>166.5</v>
      </c>
      <c r="B48" s="2">
        <v>168.94615384615386</v>
      </c>
      <c r="C48" s="2">
        <v>197.5</v>
      </c>
      <c r="D48" s="2">
        <v>164.9</v>
      </c>
      <c r="E48" s="2">
        <v>165.3</v>
      </c>
      <c r="F48" s="2">
        <v>164.5</v>
      </c>
      <c r="G48" s="2">
        <v>162.69999999999999</v>
      </c>
      <c r="H48" s="2">
        <v>168.2</v>
      </c>
      <c r="I48" s="2">
        <v>154.19999999999999</v>
      </c>
      <c r="J48" s="2">
        <v>161.75</v>
      </c>
      <c r="K48" s="2">
        <v>160.6</v>
      </c>
    </row>
    <row r="49" spans="1:11" x14ac:dyDescent="0.25">
      <c r="A49" s="1">
        <v>167.7</v>
      </c>
      <c r="B49" s="1">
        <v>168.01538461538465</v>
      </c>
      <c r="C49" s="1">
        <v>193.7</v>
      </c>
      <c r="D49" s="1">
        <v>171.1</v>
      </c>
      <c r="E49" s="1">
        <v>165.3</v>
      </c>
      <c r="F49" s="1">
        <v>167.2</v>
      </c>
      <c r="G49" s="1">
        <v>165</v>
      </c>
      <c r="H49" s="1">
        <v>173</v>
      </c>
      <c r="I49" s="1">
        <v>157.9</v>
      </c>
      <c r="J49" s="1">
        <v>164.65</v>
      </c>
      <c r="K49" s="1">
        <v>164.6</v>
      </c>
    </row>
    <row r="50" spans="1:11" x14ac:dyDescent="0.25">
      <c r="A50" s="2">
        <v>170.8</v>
      </c>
      <c r="B50" s="2">
        <v>169.73846153846154</v>
      </c>
      <c r="C50" s="2">
        <v>192.8</v>
      </c>
      <c r="D50" s="2">
        <v>177.1</v>
      </c>
      <c r="E50" s="2">
        <v>167</v>
      </c>
      <c r="F50" s="2">
        <v>173.3</v>
      </c>
      <c r="G50" s="2">
        <v>168.35</v>
      </c>
      <c r="H50" s="2">
        <v>177</v>
      </c>
      <c r="I50" s="2">
        <v>166.2</v>
      </c>
      <c r="J50" s="2">
        <v>169.05</v>
      </c>
      <c r="K50" s="2">
        <v>170.2</v>
      </c>
    </row>
    <row r="51" spans="1:11" x14ac:dyDescent="0.25">
      <c r="A51" s="1">
        <v>169.2</v>
      </c>
      <c r="B51" s="1">
        <v>171.56923076923078</v>
      </c>
      <c r="C51" s="1">
        <v>197.1</v>
      </c>
      <c r="D51" s="1">
        <v>166.3</v>
      </c>
      <c r="E51" s="1">
        <v>167</v>
      </c>
      <c r="F51" s="1">
        <v>170.5</v>
      </c>
      <c r="G51" s="1">
        <v>164.10000000000002</v>
      </c>
      <c r="H51" s="1">
        <v>169</v>
      </c>
      <c r="I51" s="1">
        <v>159.30000000000001</v>
      </c>
      <c r="J51" s="1">
        <v>163.1</v>
      </c>
      <c r="K51" s="1">
        <v>163.1</v>
      </c>
    </row>
    <row r="52" spans="1:11" x14ac:dyDescent="0.25">
      <c r="A52" s="2">
        <v>170.1</v>
      </c>
      <c r="B52" s="2">
        <v>170.33076923076925</v>
      </c>
      <c r="C52" s="2">
        <v>193.9</v>
      </c>
      <c r="D52" s="2">
        <v>172.8</v>
      </c>
      <c r="E52" s="2">
        <v>167</v>
      </c>
      <c r="F52" s="2">
        <v>172.2</v>
      </c>
      <c r="G52" s="2">
        <v>166.4</v>
      </c>
      <c r="H52" s="2">
        <v>174</v>
      </c>
      <c r="I52" s="2">
        <v>162.6</v>
      </c>
      <c r="J52" s="2">
        <v>165.65</v>
      </c>
      <c r="K52" s="2">
        <v>166.8</v>
      </c>
    </row>
    <row r="53" spans="1:11" x14ac:dyDescent="0.25">
      <c r="A53" s="1">
        <v>172.5</v>
      </c>
      <c r="B53" s="1">
        <v>171.2923076923077</v>
      </c>
      <c r="C53" s="1">
        <v>192.9</v>
      </c>
      <c r="D53" s="1">
        <v>179</v>
      </c>
      <c r="E53" s="1">
        <v>167.5</v>
      </c>
      <c r="F53" s="1">
        <v>175.3</v>
      </c>
      <c r="G53" s="1">
        <v>168.7</v>
      </c>
      <c r="H53" s="1">
        <v>177.7</v>
      </c>
      <c r="I53" s="1">
        <v>167.1</v>
      </c>
      <c r="J53" s="1">
        <v>169.7</v>
      </c>
      <c r="K53" s="1">
        <v>170.9</v>
      </c>
    </row>
    <row r="54" spans="1:11" x14ac:dyDescent="0.25">
      <c r="A54" s="2">
        <v>170.8</v>
      </c>
      <c r="B54" s="2">
        <v>174.01538461538465</v>
      </c>
      <c r="C54" s="2">
        <v>197.5</v>
      </c>
      <c r="D54" s="2">
        <v>167.8</v>
      </c>
      <c r="E54" s="2">
        <v>167.5</v>
      </c>
      <c r="F54" s="2">
        <v>173.5</v>
      </c>
      <c r="G54" s="2">
        <v>164.64999999999998</v>
      </c>
      <c r="H54" s="2">
        <v>170.1</v>
      </c>
      <c r="I54" s="2">
        <v>159.4</v>
      </c>
      <c r="J54" s="2">
        <v>164.2</v>
      </c>
      <c r="K54" s="2">
        <v>163.80000000000001</v>
      </c>
    </row>
    <row r="55" spans="1:11" x14ac:dyDescent="0.25">
      <c r="A55" s="1">
        <v>171.7</v>
      </c>
      <c r="B55" s="1">
        <v>172.22307692307697</v>
      </c>
      <c r="C55" s="1">
        <v>194.1</v>
      </c>
      <c r="D55" s="1">
        <v>174.6</v>
      </c>
      <c r="E55" s="1">
        <v>167.5</v>
      </c>
      <c r="F55" s="1">
        <v>174.6</v>
      </c>
      <c r="G55" s="1">
        <v>166.8</v>
      </c>
      <c r="H55" s="1">
        <v>174.8</v>
      </c>
      <c r="I55" s="1">
        <v>163</v>
      </c>
      <c r="J55" s="1">
        <v>166.5</v>
      </c>
      <c r="K55" s="1">
        <v>167.5</v>
      </c>
    </row>
    <row r="56" spans="1:11" x14ac:dyDescent="0.25">
      <c r="A56" s="2">
        <v>173.6</v>
      </c>
      <c r="B56" s="2">
        <v>172.94615384615386</v>
      </c>
      <c r="C56" s="2">
        <v>192.9</v>
      </c>
      <c r="D56" s="2">
        <v>180.4</v>
      </c>
      <c r="E56" s="2">
        <v>166.8</v>
      </c>
      <c r="F56" s="2">
        <v>176.7</v>
      </c>
      <c r="G56" s="2">
        <v>169.9</v>
      </c>
      <c r="H56" s="2">
        <v>178.2</v>
      </c>
      <c r="I56" s="2">
        <v>165.5</v>
      </c>
      <c r="J56" s="2">
        <v>170.3</v>
      </c>
      <c r="K56" s="2">
        <v>171</v>
      </c>
    </row>
    <row r="57" spans="1:11" x14ac:dyDescent="0.25">
      <c r="A57" s="1">
        <v>171.4</v>
      </c>
      <c r="B57" s="1">
        <v>175.96153846153845</v>
      </c>
      <c r="C57" s="1">
        <v>198.3</v>
      </c>
      <c r="D57" s="1">
        <v>169.4</v>
      </c>
      <c r="E57" s="1">
        <v>166.8</v>
      </c>
      <c r="F57" s="1">
        <v>174.9</v>
      </c>
      <c r="G57" s="1">
        <v>165.64999999999998</v>
      </c>
      <c r="H57" s="1">
        <v>170.9</v>
      </c>
      <c r="I57" s="1">
        <v>157.19999999999999</v>
      </c>
      <c r="J57" s="1">
        <v>165.3</v>
      </c>
      <c r="K57" s="1">
        <v>163.80000000000001</v>
      </c>
    </row>
    <row r="58" spans="1:11" x14ac:dyDescent="0.25">
      <c r="A58" s="2">
        <v>172.6</v>
      </c>
      <c r="B58" s="2">
        <v>173.99230769230769</v>
      </c>
      <c r="C58" s="2">
        <v>194.3</v>
      </c>
      <c r="D58" s="2">
        <v>176</v>
      </c>
      <c r="E58" s="2">
        <v>166.8</v>
      </c>
      <c r="F58" s="2">
        <v>176</v>
      </c>
      <c r="G58" s="2">
        <v>167.9</v>
      </c>
      <c r="H58" s="2">
        <v>175.4</v>
      </c>
      <c r="I58" s="2">
        <v>161.1</v>
      </c>
      <c r="J58" s="2">
        <v>167.4</v>
      </c>
      <c r="K58" s="2">
        <v>167.5</v>
      </c>
    </row>
    <row r="59" spans="1:11" x14ac:dyDescent="0.25">
      <c r="A59" s="1">
        <v>174.3</v>
      </c>
      <c r="B59" s="1">
        <v>173.26923076923077</v>
      </c>
      <c r="C59" s="1">
        <v>193.2</v>
      </c>
      <c r="D59" s="1">
        <v>181.7</v>
      </c>
      <c r="E59" s="1">
        <v>167.8</v>
      </c>
      <c r="F59" s="1">
        <v>179.6</v>
      </c>
      <c r="G59" s="1">
        <v>170.5</v>
      </c>
      <c r="H59" s="1">
        <v>178.8</v>
      </c>
      <c r="I59" s="1">
        <v>166.3</v>
      </c>
      <c r="J59" s="1">
        <v>171.64999999999998</v>
      </c>
      <c r="K59" s="1">
        <v>171.8</v>
      </c>
    </row>
    <row r="60" spans="1:11" x14ac:dyDescent="0.25">
      <c r="A60" s="2">
        <v>172.3</v>
      </c>
      <c r="B60" s="2">
        <v>176.27692307692308</v>
      </c>
      <c r="C60" s="2">
        <v>198.6</v>
      </c>
      <c r="D60" s="2">
        <v>170.6</v>
      </c>
      <c r="E60" s="2">
        <v>167.8</v>
      </c>
      <c r="F60" s="2">
        <v>179.5</v>
      </c>
      <c r="G60" s="2">
        <v>166.45</v>
      </c>
      <c r="H60" s="2">
        <v>171.7</v>
      </c>
      <c r="I60" s="2">
        <v>157.4</v>
      </c>
      <c r="J60" s="2">
        <v>166.85</v>
      </c>
      <c r="K60" s="2">
        <v>164.7</v>
      </c>
    </row>
    <row r="61" spans="1:11" x14ac:dyDescent="0.25">
      <c r="A61" s="1">
        <v>173.4</v>
      </c>
      <c r="B61" s="1">
        <v>174.33076923076925</v>
      </c>
      <c r="C61" s="1">
        <v>194.6</v>
      </c>
      <c r="D61" s="1">
        <v>177.3</v>
      </c>
      <c r="E61" s="1">
        <v>167.8</v>
      </c>
      <c r="F61" s="1">
        <v>179.6</v>
      </c>
      <c r="G61" s="1">
        <v>168.55</v>
      </c>
      <c r="H61" s="1">
        <v>176.1</v>
      </c>
      <c r="I61" s="1">
        <v>161.6</v>
      </c>
      <c r="J61" s="1">
        <v>168.85000000000002</v>
      </c>
      <c r="K61" s="1">
        <v>168.4</v>
      </c>
    </row>
    <row r="62" spans="1:11" x14ac:dyDescent="0.25">
      <c r="A62" s="2">
        <v>175.3</v>
      </c>
      <c r="B62" s="2">
        <v>173.5230769230769</v>
      </c>
      <c r="C62" s="2">
        <v>193.7</v>
      </c>
      <c r="D62" s="2">
        <v>183</v>
      </c>
      <c r="E62" s="2">
        <v>169</v>
      </c>
      <c r="F62" s="2">
        <v>179.1</v>
      </c>
      <c r="G62" s="2">
        <v>171.7</v>
      </c>
      <c r="H62" s="2">
        <v>179.4</v>
      </c>
      <c r="I62" s="2">
        <v>166.6</v>
      </c>
      <c r="J62" s="2">
        <v>172.5</v>
      </c>
      <c r="K62" s="2">
        <v>172.6</v>
      </c>
    </row>
    <row r="63" spans="1:11" x14ac:dyDescent="0.25">
      <c r="A63" s="1">
        <v>173.1</v>
      </c>
      <c r="B63" s="1">
        <v>176.43846153846152</v>
      </c>
      <c r="C63" s="1">
        <v>198.7</v>
      </c>
      <c r="D63" s="1">
        <v>171.6</v>
      </c>
      <c r="E63" s="1">
        <v>169</v>
      </c>
      <c r="F63" s="1">
        <v>178.4</v>
      </c>
      <c r="G63" s="1">
        <v>167.8</v>
      </c>
      <c r="H63" s="1">
        <v>172.6</v>
      </c>
      <c r="I63" s="1">
        <v>157.69999999999999</v>
      </c>
      <c r="J63" s="1">
        <v>167.5</v>
      </c>
      <c r="K63" s="1">
        <v>165.4</v>
      </c>
    </row>
    <row r="64" spans="1:11" x14ac:dyDescent="0.25">
      <c r="A64" s="2">
        <v>174.3</v>
      </c>
      <c r="B64" s="2">
        <v>174.55384615384617</v>
      </c>
      <c r="C64" s="2">
        <v>195</v>
      </c>
      <c r="D64" s="2">
        <v>178.5</v>
      </c>
      <c r="E64" s="2">
        <v>169</v>
      </c>
      <c r="F64" s="2">
        <v>178.8</v>
      </c>
      <c r="G64" s="2">
        <v>169.85</v>
      </c>
      <c r="H64" s="2">
        <v>176.8</v>
      </c>
      <c r="I64" s="2">
        <v>161.9</v>
      </c>
      <c r="J64" s="2">
        <v>169.60000000000002</v>
      </c>
      <c r="K64" s="2">
        <v>169.1</v>
      </c>
    </row>
    <row r="65" spans="1:11" x14ac:dyDescent="0.25">
      <c r="A65" s="1">
        <v>176.4</v>
      </c>
      <c r="B65" s="1">
        <v>174.44615384615386</v>
      </c>
      <c r="C65" s="1">
        <v>194.5</v>
      </c>
      <c r="D65" s="1">
        <v>184.5</v>
      </c>
      <c r="E65" s="1">
        <v>169.5</v>
      </c>
      <c r="F65" s="1">
        <v>179.7</v>
      </c>
      <c r="G65" s="1">
        <v>172.2</v>
      </c>
      <c r="H65" s="1">
        <v>180.2</v>
      </c>
      <c r="I65" s="1">
        <v>166.9</v>
      </c>
      <c r="J65" s="1">
        <v>173.1</v>
      </c>
      <c r="K65" s="1">
        <v>173.1</v>
      </c>
    </row>
    <row r="66" spans="1:11" x14ac:dyDescent="0.25">
      <c r="A66" s="2">
        <v>174.1</v>
      </c>
      <c r="B66" s="2">
        <v>177.41538461538462</v>
      </c>
      <c r="C66" s="2">
        <v>199.7</v>
      </c>
      <c r="D66" s="2">
        <v>173</v>
      </c>
      <c r="E66" s="2">
        <v>169.5</v>
      </c>
      <c r="F66" s="2">
        <v>179.2</v>
      </c>
      <c r="G66" s="2">
        <v>168.05</v>
      </c>
      <c r="H66" s="2">
        <v>173.8</v>
      </c>
      <c r="I66" s="2">
        <v>158.19999999999999</v>
      </c>
      <c r="J66" s="2">
        <v>168.35000000000002</v>
      </c>
      <c r="K66" s="2">
        <v>166.1</v>
      </c>
    </row>
    <row r="67" spans="1:11" x14ac:dyDescent="0.25">
      <c r="A67" s="1">
        <v>175.3</v>
      </c>
      <c r="B67" s="1">
        <v>175.45384615384617</v>
      </c>
      <c r="C67" s="1">
        <v>195.9</v>
      </c>
      <c r="D67" s="1">
        <v>179.9</v>
      </c>
      <c r="E67" s="1">
        <v>169.5</v>
      </c>
      <c r="F67" s="1">
        <v>179.5</v>
      </c>
      <c r="G67" s="1">
        <v>170.2</v>
      </c>
      <c r="H67" s="1">
        <v>177.8</v>
      </c>
      <c r="I67" s="1">
        <v>162.30000000000001</v>
      </c>
      <c r="J67" s="1">
        <v>170.35</v>
      </c>
      <c r="K67" s="1">
        <v>169.7</v>
      </c>
    </row>
    <row r="68" spans="1:11" x14ac:dyDescent="0.25">
      <c r="A68" s="2">
        <v>177.9</v>
      </c>
      <c r="B68" s="2">
        <v>175.73076923076923</v>
      </c>
      <c r="C68" s="2">
        <v>194.9</v>
      </c>
      <c r="D68" s="2">
        <v>185.9</v>
      </c>
      <c r="E68" s="2">
        <v>171.2</v>
      </c>
      <c r="F68" s="2">
        <v>180.8</v>
      </c>
      <c r="G68" s="2">
        <v>173.2</v>
      </c>
      <c r="H68" s="2">
        <v>181.2</v>
      </c>
      <c r="I68" s="2">
        <v>167.4</v>
      </c>
      <c r="J68" s="2">
        <v>173.55</v>
      </c>
      <c r="K68" s="2">
        <v>173.9</v>
      </c>
    </row>
    <row r="69" spans="1:11" x14ac:dyDescent="0.25">
      <c r="A69" s="1">
        <v>175.3</v>
      </c>
      <c r="B69" s="1">
        <v>178.63846153846154</v>
      </c>
      <c r="C69" s="1">
        <v>200.1</v>
      </c>
      <c r="D69" s="1">
        <v>173.6</v>
      </c>
      <c r="E69" s="1">
        <v>171.2</v>
      </c>
      <c r="F69" s="1">
        <v>180</v>
      </c>
      <c r="G69" s="1">
        <v>169.15</v>
      </c>
      <c r="H69" s="1">
        <v>174.7</v>
      </c>
      <c r="I69" s="1">
        <v>158.80000000000001</v>
      </c>
      <c r="J69" s="1">
        <v>168.75</v>
      </c>
      <c r="K69" s="1">
        <v>166.8</v>
      </c>
    </row>
    <row r="70" spans="1:11" x14ac:dyDescent="0.25">
      <c r="A70" s="2">
        <v>176.7</v>
      </c>
      <c r="B70" s="2">
        <v>176.71538461538464</v>
      </c>
      <c r="C70" s="2">
        <v>196.3</v>
      </c>
      <c r="D70" s="2">
        <v>181</v>
      </c>
      <c r="E70" s="2">
        <v>171.2</v>
      </c>
      <c r="F70" s="2">
        <v>180.5</v>
      </c>
      <c r="G70" s="2">
        <v>171.25</v>
      </c>
      <c r="H70" s="2">
        <v>178.7</v>
      </c>
      <c r="I70" s="2">
        <v>162.9</v>
      </c>
      <c r="J70" s="2">
        <v>170.8</v>
      </c>
      <c r="K70" s="2">
        <v>170.5</v>
      </c>
    </row>
    <row r="71" spans="1:11" x14ac:dyDescent="0.25">
      <c r="A71" s="1">
        <v>177.8</v>
      </c>
      <c r="B71" s="1">
        <v>175.97692307692307</v>
      </c>
      <c r="C71" s="1">
        <v>195.5</v>
      </c>
      <c r="D71" s="1">
        <v>186.9</v>
      </c>
      <c r="E71" s="1">
        <v>171.8</v>
      </c>
      <c r="F71" s="1">
        <v>181.9</v>
      </c>
      <c r="G71" s="1">
        <v>174.45</v>
      </c>
      <c r="H71" s="1">
        <v>182.3</v>
      </c>
      <c r="I71" s="1">
        <v>167.5</v>
      </c>
      <c r="J71" s="1">
        <v>173.85000000000002</v>
      </c>
      <c r="K71" s="1">
        <v>174.6</v>
      </c>
    </row>
    <row r="72" spans="1:11" x14ac:dyDescent="0.25">
      <c r="A72" s="2">
        <v>174.1</v>
      </c>
      <c r="B72" s="2">
        <v>178.03076923076924</v>
      </c>
      <c r="C72" s="2">
        <v>200.6</v>
      </c>
      <c r="D72" s="2">
        <v>174.7</v>
      </c>
      <c r="E72" s="2">
        <v>171.8</v>
      </c>
      <c r="F72" s="2">
        <v>180.3</v>
      </c>
      <c r="G72" s="2">
        <v>170.35000000000002</v>
      </c>
      <c r="H72" s="2">
        <v>175.8</v>
      </c>
      <c r="I72" s="2">
        <v>158.9</v>
      </c>
      <c r="J72" s="2">
        <v>169.1</v>
      </c>
      <c r="K72" s="2">
        <v>167.4</v>
      </c>
    </row>
    <row r="73" spans="1:11" x14ac:dyDescent="0.25">
      <c r="A73" s="1">
        <v>176.5</v>
      </c>
      <c r="B73" s="1">
        <v>176.67692307692309</v>
      </c>
      <c r="C73" s="1">
        <v>196.9</v>
      </c>
      <c r="D73" s="1">
        <v>182.1</v>
      </c>
      <c r="E73" s="1">
        <v>171.8</v>
      </c>
      <c r="F73" s="1">
        <v>181.3</v>
      </c>
      <c r="G73" s="1">
        <v>172.5</v>
      </c>
      <c r="H73" s="1">
        <v>179.8</v>
      </c>
      <c r="I73" s="1">
        <v>163</v>
      </c>
      <c r="J73" s="1">
        <v>171.1</v>
      </c>
      <c r="K73" s="1">
        <v>171.1</v>
      </c>
    </row>
    <row r="74" spans="1:11" x14ac:dyDescent="0.25">
      <c r="A74" s="2">
        <v>177.1</v>
      </c>
      <c r="B74" s="2">
        <v>175.16153846153844</v>
      </c>
      <c r="C74" s="2">
        <v>195.9</v>
      </c>
      <c r="D74" s="2">
        <v>187.8</v>
      </c>
      <c r="E74" s="2">
        <v>170.7</v>
      </c>
      <c r="F74" s="2">
        <v>182.8</v>
      </c>
      <c r="G74" s="2">
        <v>176.05</v>
      </c>
      <c r="H74" s="2">
        <v>183.5</v>
      </c>
      <c r="I74" s="2">
        <v>167.8</v>
      </c>
      <c r="J74" s="2">
        <v>174.25</v>
      </c>
      <c r="K74" s="2">
        <v>175.5</v>
      </c>
    </row>
    <row r="75" spans="1:11" x14ac:dyDescent="0.25">
      <c r="A75" s="1">
        <v>174.1</v>
      </c>
      <c r="B75" s="1">
        <v>176.59999999999997</v>
      </c>
      <c r="C75" s="1">
        <v>201.1</v>
      </c>
      <c r="D75" s="1">
        <v>175.7</v>
      </c>
      <c r="E75" s="1">
        <v>170.7</v>
      </c>
      <c r="F75" s="1">
        <v>180.6</v>
      </c>
      <c r="G75" s="1">
        <v>171.65</v>
      </c>
      <c r="H75" s="1">
        <v>177.2</v>
      </c>
      <c r="I75" s="1">
        <v>159.4</v>
      </c>
      <c r="J75" s="1">
        <v>169.45</v>
      </c>
      <c r="K75" s="1">
        <v>168.2</v>
      </c>
    </row>
    <row r="76" spans="1:11" x14ac:dyDescent="0.25">
      <c r="A76" s="2">
        <v>175.7</v>
      </c>
      <c r="B76" s="2">
        <v>175.64615384615385</v>
      </c>
      <c r="C76" s="2">
        <v>197.3</v>
      </c>
      <c r="D76" s="2">
        <v>183</v>
      </c>
      <c r="E76" s="2">
        <v>170.7</v>
      </c>
      <c r="F76" s="2">
        <v>182</v>
      </c>
      <c r="G76" s="2">
        <v>173.95</v>
      </c>
      <c r="H76" s="2">
        <v>181.1</v>
      </c>
      <c r="I76" s="2">
        <v>163.4</v>
      </c>
      <c r="J76" s="2">
        <v>171.5</v>
      </c>
      <c r="K76" s="2">
        <v>172</v>
      </c>
    </row>
    <row r="77" spans="1:11" x14ac:dyDescent="0.25">
      <c r="A77" s="1">
        <v>177.8</v>
      </c>
      <c r="B77" s="1">
        <v>175.63076923076926</v>
      </c>
      <c r="C77" s="1">
        <v>196.9</v>
      </c>
      <c r="D77" s="1">
        <v>188.6</v>
      </c>
      <c r="E77" s="1">
        <v>172.1</v>
      </c>
      <c r="F77" s="1">
        <v>183.2</v>
      </c>
      <c r="G77" s="1">
        <v>177.8</v>
      </c>
      <c r="H77" s="1">
        <v>184.7</v>
      </c>
      <c r="I77" s="1">
        <v>168.2</v>
      </c>
      <c r="J77" s="1">
        <v>174.8</v>
      </c>
      <c r="K77" s="1">
        <v>176.5</v>
      </c>
    </row>
    <row r="78" spans="1:11" x14ac:dyDescent="0.25">
      <c r="A78" s="2">
        <v>174.9</v>
      </c>
      <c r="B78" s="2">
        <v>177.70769230769233</v>
      </c>
      <c r="C78" s="2">
        <v>201.6</v>
      </c>
      <c r="D78" s="2">
        <v>176.6</v>
      </c>
      <c r="E78" s="2">
        <v>172.1</v>
      </c>
      <c r="F78" s="2">
        <v>180.1</v>
      </c>
      <c r="G78" s="2">
        <v>173.4</v>
      </c>
      <c r="H78" s="2">
        <v>178.5</v>
      </c>
      <c r="I78" s="2">
        <v>159.5</v>
      </c>
      <c r="J78" s="2">
        <v>169.8</v>
      </c>
      <c r="K78" s="2">
        <v>168.9</v>
      </c>
    </row>
    <row r="79" spans="1:11" x14ac:dyDescent="0.25">
      <c r="A79" s="1">
        <v>176.5</v>
      </c>
      <c r="B79" s="1">
        <v>176.36153846153846</v>
      </c>
      <c r="C79" s="1">
        <v>198.2</v>
      </c>
      <c r="D79" s="1">
        <v>183.8</v>
      </c>
      <c r="E79" s="1">
        <v>172.1</v>
      </c>
      <c r="F79" s="1">
        <v>182</v>
      </c>
      <c r="G79" s="1">
        <v>175.75</v>
      </c>
      <c r="H79" s="1">
        <v>182.3</v>
      </c>
      <c r="I79" s="1">
        <v>163.6</v>
      </c>
      <c r="J79" s="1">
        <v>171.9</v>
      </c>
      <c r="K79" s="1">
        <v>172.8</v>
      </c>
    </row>
    <row r="80" spans="1:11" x14ac:dyDescent="0.25">
      <c r="A80" s="2">
        <v>178</v>
      </c>
      <c r="B80" s="2">
        <v>174.28461538461536</v>
      </c>
      <c r="C80" s="2">
        <v>198.3</v>
      </c>
      <c r="D80" s="2">
        <v>189.6</v>
      </c>
      <c r="E80" s="2">
        <v>173.5</v>
      </c>
      <c r="F80" s="2">
        <v>181.6</v>
      </c>
      <c r="G80" s="2">
        <v>179.64999999999998</v>
      </c>
      <c r="H80" s="2">
        <v>186.6</v>
      </c>
      <c r="I80" s="2">
        <v>169</v>
      </c>
      <c r="J80" s="2">
        <v>175.65</v>
      </c>
      <c r="K80" s="2">
        <v>177.9</v>
      </c>
    </row>
    <row r="81" spans="1:11" x14ac:dyDescent="0.25">
      <c r="A81" s="1">
        <v>176.3</v>
      </c>
      <c r="B81" s="1">
        <v>177.16923076923075</v>
      </c>
      <c r="C81" s="1">
        <v>202.7</v>
      </c>
      <c r="D81" s="1">
        <v>178.2</v>
      </c>
      <c r="E81" s="1">
        <v>173.5</v>
      </c>
      <c r="F81" s="1">
        <v>182.8</v>
      </c>
      <c r="G81" s="1">
        <v>175.3</v>
      </c>
      <c r="H81" s="1">
        <v>180.8</v>
      </c>
      <c r="I81" s="1">
        <v>159.80000000000001</v>
      </c>
      <c r="J81" s="1">
        <v>170.45</v>
      </c>
      <c r="K81" s="1">
        <v>170</v>
      </c>
    </row>
    <row r="82" spans="1:11" x14ac:dyDescent="0.25">
      <c r="A82" s="2">
        <v>177.2</v>
      </c>
      <c r="B82" s="2">
        <v>175.3153846153846</v>
      </c>
      <c r="C82" s="2">
        <v>199.5</v>
      </c>
      <c r="D82" s="2">
        <v>185.1</v>
      </c>
      <c r="E82" s="2">
        <v>173.5</v>
      </c>
      <c r="F82" s="2">
        <v>182.1</v>
      </c>
      <c r="G82" s="2">
        <v>177.6</v>
      </c>
      <c r="H82" s="2">
        <v>184.4</v>
      </c>
      <c r="I82" s="2">
        <v>164.2</v>
      </c>
      <c r="J82" s="2">
        <v>172.65</v>
      </c>
      <c r="K82" s="2">
        <v>174.1</v>
      </c>
    </row>
    <row r="83" spans="1:11" x14ac:dyDescent="0.25">
      <c r="A83" s="1">
        <v>178</v>
      </c>
      <c r="B83" s="1">
        <v>174.2923076923077</v>
      </c>
      <c r="C83" s="1">
        <v>198.4</v>
      </c>
      <c r="D83" s="1">
        <v>189.6</v>
      </c>
      <c r="E83" s="1">
        <v>173.5</v>
      </c>
      <c r="F83" s="1">
        <v>181.4</v>
      </c>
      <c r="G83" s="1">
        <v>179.64999999999998</v>
      </c>
      <c r="H83" s="1">
        <v>186.6</v>
      </c>
      <c r="I83" s="1">
        <v>169</v>
      </c>
      <c r="J83" s="1">
        <v>175.65</v>
      </c>
      <c r="K83" s="1">
        <v>177.9</v>
      </c>
    </row>
    <row r="84" spans="1:11" x14ac:dyDescent="0.25">
      <c r="A84" s="2">
        <v>176.3</v>
      </c>
      <c r="B84" s="2">
        <v>177.1846153846154</v>
      </c>
      <c r="C84" s="2">
        <v>202.7</v>
      </c>
      <c r="D84" s="2">
        <v>178.2</v>
      </c>
      <c r="E84" s="2">
        <v>173.5</v>
      </c>
      <c r="F84" s="2">
        <v>182.6</v>
      </c>
      <c r="G84" s="2">
        <v>175.35</v>
      </c>
      <c r="H84" s="2">
        <v>180.8</v>
      </c>
      <c r="I84" s="2">
        <v>159.80000000000001</v>
      </c>
      <c r="J84" s="2">
        <v>170.45</v>
      </c>
      <c r="K84" s="2">
        <v>170</v>
      </c>
    </row>
    <row r="85" spans="1:11" x14ac:dyDescent="0.25">
      <c r="A85" s="1">
        <v>177.2</v>
      </c>
      <c r="B85" s="1">
        <v>175.32307692307691</v>
      </c>
      <c r="C85" s="1">
        <v>199.5</v>
      </c>
      <c r="D85" s="1">
        <v>185.1</v>
      </c>
      <c r="E85" s="1">
        <v>173.5</v>
      </c>
      <c r="F85" s="1">
        <v>181.9</v>
      </c>
      <c r="G85" s="1">
        <v>177.6</v>
      </c>
      <c r="H85" s="1">
        <v>184.4</v>
      </c>
      <c r="I85" s="1">
        <v>164.2</v>
      </c>
      <c r="J85" s="1">
        <v>172.65</v>
      </c>
      <c r="K85" s="1">
        <v>174.1</v>
      </c>
    </row>
    <row r="86" spans="1:11" x14ac:dyDescent="0.25">
      <c r="A86" s="2">
        <v>178.8</v>
      </c>
      <c r="B86" s="2">
        <v>174.93846153846152</v>
      </c>
      <c r="C86" s="2">
        <v>199.5</v>
      </c>
      <c r="D86" s="2">
        <v>190.2</v>
      </c>
      <c r="E86" s="2">
        <v>175.2</v>
      </c>
      <c r="F86" s="2">
        <v>181.5</v>
      </c>
      <c r="G86" s="2">
        <v>181.45</v>
      </c>
      <c r="H86" s="2">
        <v>187.2</v>
      </c>
      <c r="I86" s="2">
        <v>169.4</v>
      </c>
      <c r="J86" s="2">
        <v>176.3</v>
      </c>
      <c r="K86" s="2">
        <v>178.9</v>
      </c>
    </row>
    <row r="87" spans="1:11" x14ac:dyDescent="0.25">
      <c r="A87" s="1">
        <v>177.4</v>
      </c>
      <c r="B87" s="1">
        <v>178.28461538461539</v>
      </c>
      <c r="C87" s="1">
        <v>203.5</v>
      </c>
      <c r="D87" s="1">
        <v>178.9</v>
      </c>
      <c r="E87" s="1">
        <v>175.2</v>
      </c>
      <c r="F87" s="1">
        <v>182.1</v>
      </c>
      <c r="G87" s="1">
        <v>177</v>
      </c>
      <c r="H87" s="1">
        <v>181.5</v>
      </c>
      <c r="I87" s="1">
        <v>160.1</v>
      </c>
      <c r="J87" s="1">
        <v>171.5</v>
      </c>
      <c r="K87" s="1">
        <v>170.9</v>
      </c>
    </row>
    <row r="88" spans="1:11" x14ac:dyDescent="0.25">
      <c r="A88" s="2">
        <v>178.1</v>
      </c>
      <c r="B88" s="2">
        <v>176.12307692307695</v>
      </c>
      <c r="C88" s="2">
        <v>200.6</v>
      </c>
      <c r="D88" s="2">
        <v>185.7</v>
      </c>
      <c r="E88" s="2">
        <v>175.2</v>
      </c>
      <c r="F88" s="2">
        <v>181.7</v>
      </c>
      <c r="G88" s="2">
        <v>179.3</v>
      </c>
      <c r="H88" s="2">
        <v>185</v>
      </c>
      <c r="I88" s="2">
        <v>164.5</v>
      </c>
      <c r="J88" s="2">
        <v>173.55</v>
      </c>
      <c r="K88" s="2">
        <v>175</v>
      </c>
    </row>
    <row r="89" spans="1:11" x14ac:dyDescent="0.25">
      <c r="A89" s="1">
        <v>179.8</v>
      </c>
      <c r="B89" s="1">
        <v>176.20769230769235</v>
      </c>
      <c r="C89" s="1">
        <v>199.9</v>
      </c>
      <c r="D89" s="1">
        <v>190.8</v>
      </c>
      <c r="E89" s="1">
        <v>175.6</v>
      </c>
      <c r="F89" s="1">
        <v>182.5</v>
      </c>
      <c r="G89" s="1">
        <v>182.35000000000002</v>
      </c>
      <c r="H89" s="1">
        <v>187.8</v>
      </c>
      <c r="I89" s="1">
        <v>169.7</v>
      </c>
      <c r="J89" s="1">
        <v>177.05</v>
      </c>
      <c r="K89" s="1">
        <v>179.5</v>
      </c>
    </row>
    <row r="90" spans="1:11" x14ac:dyDescent="0.25">
      <c r="A90" s="2">
        <v>178.2</v>
      </c>
      <c r="B90" s="2">
        <v>179.62307692307692</v>
      </c>
      <c r="C90" s="2">
        <v>204.2</v>
      </c>
      <c r="D90" s="2">
        <v>179.3</v>
      </c>
      <c r="E90" s="2">
        <v>175.6</v>
      </c>
      <c r="F90" s="2">
        <v>183.4</v>
      </c>
      <c r="G90" s="2">
        <v>177.85</v>
      </c>
      <c r="H90" s="2">
        <v>182.2</v>
      </c>
      <c r="I90" s="2">
        <v>160.4</v>
      </c>
      <c r="J90" s="2">
        <v>172</v>
      </c>
      <c r="K90" s="2">
        <v>171.6</v>
      </c>
    </row>
    <row r="91" spans="1:11" x14ac:dyDescent="0.25">
      <c r="A91" s="1">
        <v>179.1</v>
      </c>
      <c r="B91" s="1">
        <v>177.45384615384617</v>
      </c>
      <c r="C91" s="1">
        <v>201</v>
      </c>
      <c r="D91" s="1">
        <v>186.2</v>
      </c>
      <c r="E91" s="1">
        <v>175.6</v>
      </c>
      <c r="F91" s="1">
        <v>182.8</v>
      </c>
      <c r="G91" s="1">
        <v>180.2</v>
      </c>
      <c r="H91" s="1">
        <v>185.7</v>
      </c>
      <c r="I91" s="1">
        <v>164.8</v>
      </c>
      <c r="J91" s="1">
        <v>174.14999999999998</v>
      </c>
      <c r="K91" s="1">
        <v>175.7</v>
      </c>
    </row>
  </sheetData>
  <mergeCells count="17">
    <mergeCell ref="N15:O15"/>
    <mergeCell ref="N17:O17"/>
    <mergeCell ref="G1:H1"/>
    <mergeCell ref="N37:U37"/>
    <mergeCell ref="N29:O29"/>
    <mergeCell ref="N31:O31"/>
    <mergeCell ref="N33:O33"/>
    <mergeCell ref="N19:O19"/>
    <mergeCell ref="T20:T21"/>
    <mergeCell ref="N21:O21"/>
    <mergeCell ref="N23:O23"/>
    <mergeCell ref="N25:O25"/>
    <mergeCell ref="N27:O27"/>
    <mergeCell ref="T17:T18"/>
    <mergeCell ref="N9:O9"/>
    <mergeCell ref="N11:O11"/>
    <mergeCell ref="N13:O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1963-25DB-4A38-8FB1-0EE78D52F9C6}">
  <dimension ref="E5:AC41"/>
  <sheetViews>
    <sheetView tabSelected="1" topLeftCell="B1" zoomScale="55" zoomScaleNormal="55" workbookViewId="0">
      <selection activeCell="AA27" sqref="AA27"/>
    </sheetView>
  </sheetViews>
  <sheetFormatPr defaultRowHeight="15" x14ac:dyDescent="0.25"/>
  <cols>
    <col min="5" max="5" width="27.5703125" customWidth="1"/>
    <col min="6" max="6" width="18.5703125" customWidth="1"/>
    <col min="7" max="7" width="38.85546875" customWidth="1"/>
    <col min="11" max="11" width="36" customWidth="1"/>
    <col min="12" max="12" width="49.5703125" customWidth="1"/>
    <col min="16" max="16" width="28.140625" customWidth="1"/>
    <col min="17" max="17" width="35.7109375" customWidth="1"/>
    <col min="18" max="18" width="28.140625" customWidth="1"/>
  </cols>
  <sheetData>
    <row r="5" spans="5:29" ht="23.25" x14ac:dyDescent="0.35">
      <c r="E5" s="88" t="s">
        <v>165</v>
      </c>
      <c r="F5" s="88" t="s">
        <v>166</v>
      </c>
      <c r="G5" s="88" t="s">
        <v>167</v>
      </c>
      <c r="K5" s="124" t="s">
        <v>203</v>
      </c>
      <c r="L5" s="124"/>
      <c r="P5" s="134" t="s">
        <v>213</v>
      </c>
      <c r="Q5" s="134"/>
      <c r="R5" s="134"/>
      <c r="U5" s="135" t="s">
        <v>223</v>
      </c>
      <c r="V5" s="135"/>
      <c r="W5" s="135"/>
      <c r="X5" s="135"/>
      <c r="Y5" s="135"/>
      <c r="Z5" s="135"/>
      <c r="AA5" s="135"/>
      <c r="AB5" s="135"/>
      <c r="AC5" s="135"/>
    </row>
    <row r="6" spans="5:29" ht="15.75" x14ac:dyDescent="0.25">
      <c r="E6" s="89" t="s">
        <v>0</v>
      </c>
      <c r="F6" s="90" t="s">
        <v>168</v>
      </c>
      <c r="G6" s="91" t="s">
        <v>169</v>
      </c>
      <c r="K6" s="88" t="s">
        <v>165</v>
      </c>
      <c r="L6" s="94" t="s">
        <v>204</v>
      </c>
    </row>
    <row r="7" spans="5:29" ht="18.75" x14ac:dyDescent="0.3">
      <c r="E7" s="89" t="s">
        <v>1</v>
      </c>
      <c r="F7" s="90" t="s">
        <v>170</v>
      </c>
      <c r="G7" s="91" t="s">
        <v>171</v>
      </c>
      <c r="K7" s="89" t="s">
        <v>0</v>
      </c>
      <c r="L7" s="95" t="s">
        <v>0</v>
      </c>
      <c r="P7" s="94" t="s">
        <v>165</v>
      </c>
      <c r="Q7" s="88" t="s">
        <v>167</v>
      </c>
      <c r="R7" s="88" t="s">
        <v>214</v>
      </c>
      <c r="U7" s="136" t="s">
        <v>224</v>
      </c>
      <c r="V7" s="136"/>
      <c r="W7" s="136"/>
      <c r="X7" s="136"/>
    </row>
    <row r="8" spans="5:29" x14ac:dyDescent="0.25">
      <c r="E8" s="89" t="s">
        <v>2</v>
      </c>
      <c r="F8" s="90" t="s">
        <v>172</v>
      </c>
      <c r="G8" s="91" t="s">
        <v>2</v>
      </c>
      <c r="K8" s="89" t="s">
        <v>1</v>
      </c>
      <c r="L8" s="95" t="s">
        <v>1</v>
      </c>
      <c r="P8" s="99" t="s">
        <v>3</v>
      </c>
      <c r="Q8" s="100" t="s">
        <v>215</v>
      </c>
      <c r="R8" s="101" t="s">
        <v>216</v>
      </c>
    </row>
    <row r="9" spans="5:29" ht="18.75" x14ac:dyDescent="0.3">
      <c r="E9" s="89" t="s">
        <v>3</v>
      </c>
      <c r="F9" s="90" t="s">
        <v>173</v>
      </c>
      <c r="G9" s="92" t="s">
        <v>174</v>
      </c>
      <c r="K9" s="89" t="s">
        <v>2</v>
      </c>
      <c r="L9" s="95" t="s">
        <v>2</v>
      </c>
      <c r="P9" s="99" t="s">
        <v>4</v>
      </c>
      <c r="Q9" s="100" t="s">
        <v>215</v>
      </c>
      <c r="R9" s="101" t="s">
        <v>216</v>
      </c>
      <c r="U9" s="102" t="s">
        <v>225</v>
      </c>
      <c r="V9" s="102"/>
      <c r="W9" s="102"/>
      <c r="X9" s="102"/>
      <c r="Y9" s="102"/>
      <c r="Z9" s="102"/>
      <c r="AA9" s="102"/>
    </row>
    <row r="10" spans="5:29" x14ac:dyDescent="0.25">
      <c r="E10" s="89" t="s">
        <v>4</v>
      </c>
      <c r="F10" s="90" t="s">
        <v>173</v>
      </c>
      <c r="G10" s="92" t="s">
        <v>175</v>
      </c>
      <c r="K10" s="96" t="s">
        <v>3</v>
      </c>
      <c r="L10" s="125" t="s">
        <v>205</v>
      </c>
      <c r="P10" s="99" t="s">
        <v>5</v>
      </c>
      <c r="Q10" s="100" t="s">
        <v>215</v>
      </c>
      <c r="R10" s="101" t="s">
        <v>216</v>
      </c>
    </row>
    <row r="11" spans="5:29" x14ac:dyDescent="0.25">
      <c r="E11" s="89" t="s">
        <v>5</v>
      </c>
      <c r="F11" s="90" t="s">
        <v>173</v>
      </c>
      <c r="G11" s="92" t="s">
        <v>176</v>
      </c>
      <c r="K11" s="96" t="s">
        <v>4</v>
      </c>
      <c r="L11" s="125"/>
      <c r="P11" s="99" t="s">
        <v>6</v>
      </c>
      <c r="Q11" s="100" t="s">
        <v>215</v>
      </c>
      <c r="R11" s="101" t="s">
        <v>216</v>
      </c>
    </row>
    <row r="12" spans="5:29" ht="18.75" x14ac:dyDescent="0.3">
      <c r="E12" s="89" t="s">
        <v>6</v>
      </c>
      <c r="F12" s="90" t="s">
        <v>173</v>
      </c>
      <c r="G12" s="92" t="s">
        <v>177</v>
      </c>
      <c r="K12" s="96" t="s">
        <v>5</v>
      </c>
      <c r="L12" s="125"/>
      <c r="P12" s="99" t="s">
        <v>7</v>
      </c>
      <c r="Q12" s="100" t="s">
        <v>215</v>
      </c>
      <c r="R12" s="101" t="s">
        <v>216</v>
      </c>
      <c r="U12" s="103" t="s">
        <v>226</v>
      </c>
      <c r="V12" s="104"/>
      <c r="W12" s="104"/>
      <c r="X12" s="104"/>
      <c r="Y12" s="104"/>
    </row>
    <row r="13" spans="5:29" x14ac:dyDescent="0.25">
      <c r="E13" s="89" t="s">
        <v>7</v>
      </c>
      <c r="F13" s="90" t="s">
        <v>173</v>
      </c>
      <c r="G13" s="92" t="s">
        <v>178</v>
      </c>
      <c r="K13" s="96" t="s">
        <v>6</v>
      </c>
      <c r="L13" s="125"/>
      <c r="P13" s="99" t="s">
        <v>8</v>
      </c>
      <c r="Q13" s="100" t="s">
        <v>215</v>
      </c>
      <c r="R13" s="101" t="s">
        <v>216</v>
      </c>
    </row>
    <row r="14" spans="5:29" ht="18.75" x14ac:dyDescent="0.3">
      <c r="E14" s="89" t="s">
        <v>8</v>
      </c>
      <c r="F14" s="90" t="s">
        <v>173</v>
      </c>
      <c r="G14" s="92" t="s">
        <v>179</v>
      </c>
      <c r="K14" s="96" t="s">
        <v>7</v>
      </c>
      <c r="L14" s="125"/>
      <c r="P14" s="99" t="s">
        <v>9</v>
      </c>
      <c r="Q14" s="100" t="s">
        <v>215</v>
      </c>
      <c r="R14" s="101" t="s">
        <v>216</v>
      </c>
      <c r="U14" s="102" t="s">
        <v>227</v>
      </c>
      <c r="V14" s="105"/>
      <c r="W14" s="105"/>
      <c r="X14" s="105"/>
      <c r="Y14" s="105"/>
      <c r="Z14" s="105"/>
      <c r="AA14" s="105"/>
      <c r="AB14" s="105"/>
      <c r="AC14" s="105"/>
    </row>
    <row r="15" spans="5:29" x14ac:dyDescent="0.25">
      <c r="E15" s="89" t="s">
        <v>9</v>
      </c>
      <c r="F15" s="90" t="s">
        <v>173</v>
      </c>
      <c r="G15" s="92" t="s">
        <v>180</v>
      </c>
      <c r="K15" s="96" t="s">
        <v>8</v>
      </c>
      <c r="L15" s="125"/>
      <c r="P15" s="99" t="s">
        <v>10</v>
      </c>
      <c r="Q15" s="100" t="s">
        <v>215</v>
      </c>
      <c r="R15" s="101" t="s">
        <v>216</v>
      </c>
    </row>
    <row r="16" spans="5:29" ht="18.75" x14ac:dyDescent="0.3">
      <c r="E16" s="89" t="s">
        <v>10</v>
      </c>
      <c r="F16" s="90" t="s">
        <v>173</v>
      </c>
      <c r="G16" s="92" t="s">
        <v>181</v>
      </c>
      <c r="K16" s="96" t="s">
        <v>9</v>
      </c>
      <c r="L16" s="125"/>
      <c r="P16" s="99" t="s">
        <v>11</v>
      </c>
      <c r="Q16" s="100" t="s">
        <v>215</v>
      </c>
      <c r="R16" s="101" t="s">
        <v>216</v>
      </c>
      <c r="U16" s="106" t="s">
        <v>228</v>
      </c>
      <c r="V16" s="106"/>
      <c r="W16" s="106"/>
    </row>
    <row r="17" spans="5:25" x14ac:dyDescent="0.25">
      <c r="E17" s="89" t="s">
        <v>11</v>
      </c>
      <c r="F17" s="90" t="s">
        <v>173</v>
      </c>
      <c r="G17" s="92" t="s">
        <v>182</v>
      </c>
      <c r="K17" s="96" t="s">
        <v>10</v>
      </c>
      <c r="L17" s="125"/>
      <c r="P17" s="99" t="s">
        <v>12</v>
      </c>
      <c r="Q17" s="100" t="s">
        <v>215</v>
      </c>
      <c r="R17" s="101" t="s">
        <v>216</v>
      </c>
    </row>
    <row r="18" spans="5:25" ht="18.75" x14ac:dyDescent="0.3">
      <c r="E18" s="89" t="s">
        <v>12</v>
      </c>
      <c r="F18" s="90" t="s">
        <v>173</v>
      </c>
      <c r="G18" s="92" t="s">
        <v>183</v>
      </c>
      <c r="K18" s="96" t="s">
        <v>11</v>
      </c>
      <c r="L18" s="125"/>
      <c r="P18" s="99" t="s">
        <v>13</v>
      </c>
      <c r="Q18" s="100" t="s">
        <v>215</v>
      </c>
      <c r="R18" s="101" t="s">
        <v>216</v>
      </c>
      <c r="U18" s="137" t="s">
        <v>229</v>
      </c>
      <c r="V18" s="137"/>
      <c r="W18" s="137"/>
      <c r="X18" s="137"/>
    </row>
    <row r="19" spans="5:25" x14ac:dyDescent="0.25">
      <c r="E19" s="89" t="s">
        <v>13</v>
      </c>
      <c r="F19" s="90" t="s">
        <v>173</v>
      </c>
      <c r="G19" s="92" t="s">
        <v>184</v>
      </c>
      <c r="K19" s="96" t="s">
        <v>12</v>
      </c>
      <c r="L19" s="125"/>
      <c r="P19" s="99" t="s">
        <v>14</v>
      </c>
      <c r="Q19" s="100" t="s">
        <v>215</v>
      </c>
      <c r="R19" s="101" t="s">
        <v>216</v>
      </c>
    </row>
    <row r="20" spans="5:25" ht="30" x14ac:dyDescent="0.3">
      <c r="E20" s="89" t="s">
        <v>14</v>
      </c>
      <c r="F20" s="90" t="s">
        <v>173</v>
      </c>
      <c r="G20" s="92" t="s">
        <v>185</v>
      </c>
      <c r="K20" s="96" t="s">
        <v>13</v>
      </c>
      <c r="L20" s="125"/>
      <c r="P20" s="99" t="s">
        <v>15</v>
      </c>
      <c r="Q20" s="100" t="s">
        <v>215</v>
      </c>
      <c r="R20" s="101" t="s">
        <v>216</v>
      </c>
      <c r="U20" s="138" t="s">
        <v>230</v>
      </c>
      <c r="V20" s="138"/>
      <c r="W20" s="138"/>
    </row>
    <row r="21" spans="5:25" x14ac:dyDescent="0.25">
      <c r="E21" s="89" t="s">
        <v>15</v>
      </c>
      <c r="F21" s="90" t="s">
        <v>173</v>
      </c>
      <c r="G21" s="92" t="s">
        <v>186</v>
      </c>
      <c r="K21" s="96" t="s">
        <v>14</v>
      </c>
      <c r="L21" s="125"/>
      <c r="P21" s="99" t="s">
        <v>16</v>
      </c>
      <c r="Q21" s="100" t="s">
        <v>215</v>
      </c>
      <c r="R21" s="101" t="s">
        <v>216</v>
      </c>
    </row>
    <row r="22" spans="5:25" ht="30" x14ac:dyDescent="0.25">
      <c r="E22" s="89" t="s">
        <v>16</v>
      </c>
      <c r="F22" s="90" t="s">
        <v>173</v>
      </c>
      <c r="G22" s="92" t="s">
        <v>187</v>
      </c>
      <c r="K22" s="96" t="s">
        <v>15</v>
      </c>
      <c r="L22" s="125"/>
      <c r="P22" s="99" t="s">
        <v>17</v>
      </c>
      <c r="Q22" s="100" t="s">
        <v>215</v>
      </c>
      <c r="R22" s="101" t="s">
        <v>216</v>
      </c>
      <c r="U22" s="139" t="s">
        <v>231</v>
      </c>
      <c r="V22" s="139"/>
      <c r="W22" s="139"/>
      <c r="X22" s="139"/>
      <c r="Y22" s="139"/>
    </row>
    <row r="23" spans="5:25" x14ac:dyDescent="0.25">
      <c r="E23" s="89" t="s">
        <v>17</v>
      </c>
      <c r="F23" s="90" t="s">
        <v>173</v>
      </c>
      <c r="G23" s="92" t="s">
        <v>188</v>
      </c>
      <c r="K23" s="93" t="s">
        <v>16</v>
      </c>
      <c r="L23" s="93" t="s">
        <v>16</v>
      </c>
      <c r="P23" s="99" t="s">
        <v>18</v>
      </c>
      <c r="Q23" s="100" t="s">
        <v>215</v>
      </c>
      <c r="R23" s="101" t="s">
        <v>216</v>
      </c>
    </row>
    <row r="24" spans="5:25" ht="18.75" x14ac:dyDescent="0.3">
      <c r="E24" s="89" t="s">
        <v>18</v>
      </c>
      <c r="F24" s="90" t="s">
        <v>173</v>
      </c>
      <c r="G24" s="92" t="s">
        <v>189</v>
      </c>
      <c r="K24" s="97" t="s">
        <v>17</v>
      </c>
      <c r="L24" s="126" t="s">
        <v>53</v>
      </c>
      <c r="P24" s="99" t="s">
        <v>19</v>
      </c>
      <c r="Q24" s="100" t="s">
        <v>215</v>
      </c>
      <c r="R24" s="101" t="s">
        <v>216</v>
      </c>
      <c r="U24" s="106" t="s">
        <v>232</v>
      </c>
      <c r="V24" s="106"/>
      <c r="W24" s="106"/>
      <c r="X24" s="106"/>
      <c r="Y24" s="106"/>
    </row>
    <row r="25" spans="5:25" x14ac:dyDescent="0.25">
      <c r="E25" s="89" t="s">
        <v>19</v>
      </c>
      <c r="F25" s="90" t="s">
        <v>173</v>
      </c>
      <c r="G25" s="92" t="s">
        <v>190</v>
      </c>
      <c r="K25" s="97" t="s">
        <v>18</v>
      </c>
      <c r="L25" s="126"/>
      <c r="P25" s="99" t="s">
        <v>20</v>
      </c>
      <c r="Q25" s="100" t="s">
        <v>217</v>
      </c>
      <c r="R25" s="101" t="s">
        <v>216</v>
      </c>
    </row>
    <row r="26" spans="5:25" ht="18.75" x14ac:dyDescent="0.3">
      <c r="E26" s="89" t="s">
        <v>20</v>
      </c>
      <c r="F26" s="90" t="s">
        <v>173</v>
      </c>
      <c r="G26" s="92" t="s">
        <v>191</v>
      </c>
      <c r="K26" s="97" t="s">
        <v>19</v>
      </c>
      <c r="L26" s="126"/>
      <c r="P26" s="99" t="s">
        <v>21</v>
      </c>
      <c r="Q26" s="100" t="s">
        <v>215</v>
      </c>
      <c r="R26" s="101" t="s">
        <v>216</v>
      </c>
      <c r="U26" s="102" t="s">
        <v>233</v>
      </c>
      <c r="V26" s="102"/>
      <c r="W26" s="102"/>
      <c r="X26" s="102"/>
      <c r="Y26" s="105"/>
    </row>
    <row r="27" spans="5:25" x14ac:dyDescent="0.25">
      <c r="E27" s="89" t="s">
        <v>21</v>
      </c>
      <c r="F27" s="90" t="s">
        <v>173</v>
      </c>
      <c r="G27" s="92" t="s">
        <v>192</v>
      </c>
      <c r="K27" s="129" t="s">
        <v>20</v>
      </c>
      <c r="L27" s="127" t="s">
        <v>208</v>
      </c>
      <c r="P27" s="99" t="s">
        <v>22</v>
      </c>
      <c r="Q27" s="100" t="s">
        <v>215</v>
      </c>
      <c r="R27" s="101" t="s">
        <v>216</v>
      </c>
    </row>
    <row r="28" spans="5:25" ht="30" x14ac:dyDescent="0.25">
      <c r="E28" s="89" t="s">
        <v>22</v>
      </c>
      <c r="F28" s="90" t="s">
        <v>173</v>
      </c>
      <c r="G28" s="92" t="s">
        <v>193</v>
      </c>
      <c r="K28" s="130"/>
      <c r="L28" s="127"/>
      <c r="P28" s="99" t="s">
        <v>23</v>
      </c>
      <c r="Q28" s="100" t="s">
        <v>215</v>
      </c>
      <c r="R28" s="101" t="s">
        <v>216</v>
      </c>
    </row>
    <row r="29" spans="5:25" x14ac:dyDescent="0.25">
      <c r="E29" s="89" t="s">
        <v>23</v>
      </c>
      <c r="F29" s="90" t="s">
        <v>173</v>
      </c>
      <c r="G29" s="92" t="s">
        <v>194</v>
      </c>
      <c r="K29" s="131"/>
      <c r="L29" s="127"/>
      <c r="P29" s="99" t="s">
        <v>27</v>
      </c>
      <c r="Q29" s="100" t="s">
        <v>215</v>
      </c>
      <c r="R29" s="101" t="s">
        <v>216</v>
      </c>
    </row>
    <row r="30" spans="5:25" x14ac:dyDescent="0.25">
      <c r="E30" s="89" t="s">
        <v>27</v>
      </c>
      <c r="F30" s="90" t="s">
        <v>173</v>
      </c>
      <c r="G30" s="92" t="s">
        <v>195</v>
      </c>
      <c r="K30" s="132" t="s">
        <v>23</v>
      </c>
      <c r="L30" s="128" t="s">
        <v>67</v>
      </c>
      <c r="P30" s="99" t="s">
        <v>24</v>
      </c>
      <c r="Q30" s="100" t="s">
        <v>215</v>
      </c>
      <c r="R30" s="101" t="s">
        <v>216</v>
      </c>
    </row>
    <row r="31" spans="5:25" ht="30" x14ac:dyDescent="0.25">
      <c r="E31" s="89" t="s">
        <v>24</v>
      </c>
      <c r="F31" s="90" t="s">
        <v>173</v>
      </c>
      <c r="G31" s="92" t="s">
        <v>196</v>
      </c>
      <c r="K31" s="133"/>
      <c r="L31" s="128"/>
      <c r="P31" s="99" t="s">
        <v>26</v>
      </c>
      <c r="Q31" s="100" t="s">
        <v>215</v>
      </c>
      <c r="R31" s="101" t="s">
        <v>216</v>
      </c>
    </row>
    <row r="32" spans="5:25" x14ac:dyDescent="0.25">
      <c r="E32" s="89" t="s">
        <v>26</v>
      </c>
      <c r="F32" s="90" t="s">
        <v>173</v>
      </c>
      <c r="G32" s="92" t="s">
        <v>197</v>
      </c>
      <c r="K32" s="143" t="s">
        <v>24</v>
      </c>
      <c r="L32" s="143" t="s">
        <v>209</v>
      </c>
      <c r="P32" s="99" t="s">
        <v>25</v>
      </c>
      <c r="Q32" s="100" t="s">
        <v>215</v>
      </c>
      <c r="R32" s="101" t="s">
        <v>216</v>
      </c>
    </row>
    <row r="33" spans="5:18" ht="30" x14ac:dyDescent="0.25">
      <c r="E33" s="89" t="s">
        <v>25</v>
      </c>
      <c r="F33" s="90" t="s">
        <v>173</v>
      </c>
      <c r="G33" s="92" t="s">
        <v>198</v>
      </c>
      <c r="K33" s="144"/>
      <c r="L33" s="144"/>
      <c r="P33" s="99" t="s">
        <v>28</v>
      </c>
      <c r="Q33" s="100" t="s">
        <v>215</v>
      </c>
      <c r="R33" s="101" t="s">
        <v>216</v>
      </c>
    </row>
    <row r="34" spans="5:18" x14ac:dyDescent="0.25">
      <c r="E34" s="89" t="s">
        <v>28</v>
      </c>
      <c r="F34" s="90" t="s">
        <v>173</v>
      </c>
      <c r="G34" s="92" t="s">
        <v>199</v>
      </c>
      <c r="K34" s="145" t="s">
        <v>207</v>
      </c>
      <c r="L34" s="145" t="s">
        <v>54</v>
      </c>
      <c r="P34" s="99" t="s">
        <v>29</v>
      </c>
      <c r="Q34" s="100" t="s">
        <v>218</v>
      </c>
      <c r="R34" s="101" t="s">
        <v>216</v>
      </c>
    </row>
    <row r="35" spans="5:18" ht="30" x14ac:dyDescent="0.25">
      <c r="E35" s="89" t="s">
        <v>29</v>
      </c>
      <c r="F35" s="90" t="s">
        <v>173</v>
      </c>
      <c r="G35" s="92" t="s">
        <v>200</v>
      </c>
      <c r="K35" s="145"/>
      <c r="L35" s="145"/>
      <c r="P35" s="99" t="s">
        <v>219</v>
      </c>
      <c r="Q35" s="100" t="s">
        <v>220</v>
      </c>
      <c r="R35" s="101" t="s">
        <v>216</v>
      </c>
    </row>
    <row r="36" spans="5:18" ht="30" x14ac:dyDescent="0.25">
      <c r="E36" s="93" t="s">
        <v>201</v>
      </c>
      <c r="F36" s="90" t="s">
        <v>49</v>
      </c>
      <c r="G36" s="92" t="s">
        <v>202</v>
      </c>
      <c r="K36" s="98" t="s">
        <v>211</v>
      </c>
      <c r="L36" s="140" t="s">
        <v>210</v>
      </c>
      <c r="P36" s="99" t="s">
        <v>201</v>
      </c>
      <c r="Q36" s="100" t="s">
        <v>221</v>
      </c>
      <c r="R36" s="101" t="s">
        <v>216</v>
      </c>
    </row>
    <row r="37" spans="5:18" x14ac:dyDescent="0.25">
      <c r="K37" s="98" t="s">
        <v>212</v>
      </c>
      <c r="L37" s="140"/>
      <c r="P37" s="99" t="s">
        <v>0</v>
      </c>
      <c r="Q37" s="100" t="s">
        <v>222</v>
      </c>
      <c r="R37" s="101" t="s">
        <v>216</v>
      </c>
    </row>
    <row r="38" spans="5:18" x14ac:dyDescent="0.25">
      <c r="K38" s="93" t="s">
        <v>26</v>
      </c>
      <c r="L38" s="141" t="s">
        <v>68</v>
      </c>
      <c r="P38" s="99" t="s">
        <v>1</v>
      </c>
      <c r="Q38" s="100" t="s">
        <v>222</v>
      </c>
      <c r="R38" s="101" t="s">
        <v>216</v>
      </c>
    </row>
    <row r="39" spans="5:18" x14ac:dyDescent="0.25">
      <c r="K39" s="93" t="s">
        <v>206</v>
      </c>
      <c r="L39" s="141"/>
      <c r="P39" s="99" t="s">
        <v>2</v>
      </c>
      <c r="Q39" s="100" t="s">
        <v>222</v>
      </c>
      <c r="R39" s="101" t="s">
        <v>216</v>
      </c>
    </row>
    <row r="40" spans="5:18" x14ac:dyDescent="0.25">
      <c r="K40" s="142" t="s">
        <v>28</v>
      </c>
      <c r="L40" s="142" t="s">
        <v>28</v>
      </c>
    </row>
    <row r="41" spans="5:18" x14ac:dyDescent="0.25">
      <c r="K41" s="142"/>
      <c r="L41" s="142"/>
    </row>
  </sheetData>
  <mergeCells count="21">
    <mergeCell ref="U22:Y22"/>
    <mergeCell ref="L36:L37"/>
    <mergeCell ref="L38:L39"/>
    <mergeCell ref="L40:L41"/>
    <mergeCell ref="K40:K41"/>
    <mergeCell ref="L32:L33"/>
    <mergeCell ref="K32:K33"/>
    <mergeCell ref="L34:L35"/>
    <mergeCell ref="K34:K35"/>
    <mergeCell ref="P5:R5"/>
    <mergeCell ref="U5:AC5"/>
    <mergeCell ref="U7:X7"/>
    <mergeCell ref="U18:X18"/>
    <mergeCell ref="U20:W20"/>
    <mergeCell ref="K5:L5"/>
    <mergeCell ref="L10:L22"/>
    <mergeCell ref="L24:L26"/>
    <mergeCell ref="L27:L29"/>
    <mergeCell ref="L30:L31"/>
    <mergeCell ref="K27:K29"/>
    <mergeCell ref="K30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Shadab's_CPI_Infalation_CaseStu</vt:lpstr>
      <vt:lpstr>Sheet1</vt:lpstr>
      <vt:lpstr>Cleaned Data</vt:lpstr>
      <vt:lpstr>Objective1</vt:lpstr>
      <vt:lpstr>Objective2</vt:lpstr>
      <vt:lpstr>Objective3</vt:lpstr>
      <vt:lpstr>Objective4</vt:lpstr>
      <vt:lpstr>Objective5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Shadab Anwer</dc:creator>
  <cp:lastModifiedBy>dell</cp:lastModifiedBy>
  <dcterms:created xsi:type="dcterms:W3CDTF">2026-08-05T18:38:26Z</dcterms:created>
  <dcterms:modified xsi:type="dcterms:W3CDTF">2026-10-10T06:25:57Z</dcterms:modified>
</cp:coreProperties>
</file>